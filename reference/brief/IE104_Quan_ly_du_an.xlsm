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1_Dang_ky_de_tai" sheetId="1" r:id="rId4"/>
    <sheet state="visible" name="2_Goi_y_de_tai" sheetId="2" r:id="rId5"/>
    <sheet state="visible" name="4_Dang_ky_thuyet_trinh" sheetId="3" r:id="rId6"/>
    <sheet state="visible" name="3_Milestones" sheetId="4" r:id="rId7"/>
  </sheets>
  <definedNames/>
  <calcPr/>
  <extLst>
    <ext uri="GoogleSheetsCustomDataVersion2">
      <go:sheetsCustomData xmlns:go="http://customooxmlschemas.google.com/" r:id="rId8" roundtripDataChecksum="mgRnQ1YYeGXRHyEAk1THxUMZAPO6Yk4sYWtsKq0ksT8="/>
    </ext>
  </extLst>
</workbook>
</file>

<file path=xl/sharedStrings.xml><?xml version="1.0" encoding="utf-8"?>
<sst xmlns="http://schemas.openxmlformats.org/spreadsheetml/2006/main" count="425" uniqueCount="329">
  <si>
    <t>h</t>
  </si>
  <si>
    <t>ĐĂNG KÝ TOPIC THUYẾT TRÌNH – 11 BUỔI HỌC</t>
  </si>
  <si>
    <t>15 Ý TƯỞNG ĐỀ TÀI WEB – MÔ TẢ NGHIỆP VỤ &amp; PHẠM VI GỢI Ý</t>
  </si>
  <si>
    <t>Các topic bám theo tiến trình nội dung môn học. Cột “Ngày học thực tế” để giảng viên cập nhật theo lịch lớp; mỗi nhóm điền người trình bày và link slide.</t>
  </si>
  <si>
    <t>Buổi</t>
  </si>
  <si>
    <t>Số nhóm đã đăng ký</t>
  </si>
  <si>
    <t>Các đề tài được thiết kế để sinh viên thực hành quy trình Requirement → UI/UX Design → Code → Demo; ưu tiên bài toán thực tế, có nhiều vai trò người dùng và có thể triển khai MVP bằng HTML/CSS/JavaScript, sau đó mở rộng bằng Bootstrap/React/Node.js và AI/API khi phù hợp.</t>
  </si>
  <si>
    <t>Tuần bắt đầu</t>
  </si>
  <si>
    <t>Ngày học thực tế</t>
  </si>
  <si>
    <t>Nội dung môn học</t>
  </si>
  <si>
    <t>KẾ HOẠCH MILESTONES DỰ ÁN – 07/09/2026 → 28/11/2026</t>
  </si>
  <si>
    <t>Gợi ý topic thuyết trình</t>
  </si>
  <si>
    <t>STT</t>
  </si>
  <si>
    <t>Nhóm đăng ký</t>
  </si>
  <si>
    <t>Ý tưởng đề tài</t>
  </si>
  <si>
    <t>Link Slide</t>
  </si>
  <si>
    <t>Bối cảnh / Nghiệp vụ</t>
  </si>
  <si>
    <t>Link Source Code</t>
  </si>
  <si>
    <t>Vai trò người dùng</t>
  </si>
  <si>
    <t>Trạng thái</t>
  </si>
  <si>
    <t>Chức năng bắt buộc</t>
  </si>
  <si>
    <t>Dữ liệu chính</t>
  </si>
  <si>
    <t>Gợi ý công nghệ</t>
  </si>
  <si>
    <t>Mức độ</t>
  </si>
  <si>
    <t>Mở rộng nếu còn thời gian</t>
  </si>
  <si>
    <t>Output cần nộp</t>
  </si>
  <si>
    <t>Ba mốc chấm đồ án được đề xuất: M1 Design Freeze, M2 Code 50%, M3 Final. Các mốc trung gian giúp nhóm duy trì nhịp triển khai và giảm dồn việc cuối kỳ.</t>
  </si>
  <si>
    <t>Tuần</t>
  </si>
  <si>
    <t>Khoảng thời gian</t>
  </si>
  <si>
    <t>Mốc / Hoạt động</t>
  </si>
  <si>
    <t>Deliverable cần có</t>
  </si>
  <si>
    <t>Đề tài đã chọn</t>
  </si>
  <si>
    <t>Tiêu chí hoàn thành</t>
  </si>
  <si>
    <t>Deadline</t>
  </si>
  <si>
    <t>Loại mốc</t>
  </si>
  <si>
    <t>% tiến độ gợi ý</t>
  </si>
  <si>
    <t>Nền tảng đặt thuê dịch vụ tại nhà</t>
  </si>
  <si>
    <t>Người dùng cần tìm và đặt các dịch vụ theo khu vực như giữ trẻ, chăm sóc người già, sửa điện, sửa nước, nấu ăn hoặc dọn dẹp. Người cung cấp dịch vụ tạo hồ sơ, lịch rảnh và nhận yêu cầu đặt.</t>
  </si>
  <si>
    <t>Khách hàng; Người cung cấp dịch vụ; Quản trị viên</t>
  </si>
  <si>
    <t>Tuần 1</t>
  </si>
  <si>
    <t>Đăng ký/đăng nhập; danh mục dịch vụ; tìm kiếm theo khu vực; hồ sơ người cung cấp; lịch rảnh; đặt/hủy dịch vụ; trạng thái đơn; đánh giá cơ bản; quản lý yêu cầu.</t>
  </si>
  <si>
    <t>07/09/2026 – 12/09/2026</t>
  </si>
  <si>
    <t>User, Provider, Service, Availability, Booking, Review</t>
  </si>
  <si>
    <t>Kickoff &amp; lập nhóm</t>
  </si>
  <si>
    <t>Danh sách nhóm + 2–3 ý tưởng đề tài</t>
  </si>
  <si>
    <t>HTML/CSS/JS + Bootstrap; mở rộng React + Node.js/Express + Maps API</t>
  </si>
  <si>
    <t>Đủ 4 link output</t>
  </si>
  <si>
    <t>Khá</t>
  </si>
  <si>
    <t>Nhóm tối đa 5 người; có trưởng nhóm; chọn phạm vi vừa sức</t>
  </si>
  <si>
    <t>Bản đồ; chat; thanh toán giả lập; xác minh hồ sơ; gợi ý nhà cung cấp gần nhất</t>
  </si>
  <si>
    <t>Requirement, user flow, wireframe/UI, GitHub, slide, demo URL</t>
  </si>
  <si>
    <t>UIT Connect – Cổng kết nối doanh nghiệp với sinh viên UIT</t>
  </si>
  <si>
    <t>Doanh nghiệp có bài toán thực tế nhưng khó tiếp cận nhóm sinh viên phù hợp. Website giới thiệu dự án, sản phẩm và paper của sinh viên UIT; doanh nghiệp gửi nhu cầu và chọn nhóm/dự án để kết nối giải quyết vấn đề.</t>
  </si>
  <si>
    <t>Sinh viên/Nhóm dự án; Doanh nghiệp; Giảng viên/Điều phối; Quản trị viên</t>
  </si>
  <si>
    <t>Hồ sơ nhóm; danh mục project/product/paper; tìm kiếm theo lĩnh vực/kỹ năng; trang chi tiết; form doanh nghiệp đăng bài toán; gửi yêu cầu kết nối; theo dõi trạng thái matching; dashboard quản lý.</t>
  </si>
  <si>
    <t>StudentTeam, Project, Product, Paper, Company, BusinessProblem, ConnectionRequest</t>
  </si>
  <si>
    <t>HTML/CSS/JS; Bootstrap; mở rộng React + Node.js + DB</t>
  </si>
  <si>
    <t>Recommendation theo kỹ năng; portfolio nhóm; lịch hẹn; email thông báo; thống kê lĩnh vực doanh nghiệp quan tâm</t>
  </si>
  <si>
    <t>Requirement, design, GitHub, slide, demo URL</t>
  </si>
  <si>
    <t>AI OralCheck – Kiểm tra mức độ hiểu bài qua ghi âm</t>
  </si>
  <si>
    <t>Giảng viên giao câu hỏi/bài tập ngắn; sinh viên mở bài tập và ghi âm câu trả lời. Hệ thống chuyển giọng nói thành văn bản và dùng AI chấm mức độ hiểu, phản hồi các ý đúng/sai hoặc còn thiếu.</t>
  </si>
  <si>
    <t>Sinh viên; Giảng viên; Quản trị viên</t>
  </si>
  <si>
    <t>Tổng quan Internet &amp; Công nghệ Web</t>
  </si>
  <si>
    <t>Tạo lớp/bài tập; danh sách câu hỏi; ghi âm trên trình duyệt; nộp bài; phát lại audio; transcript; điểm AI; feedback; lịch sử bài nộp; giảng viên xem/chỉnh điểm.</t>
  </si>
  <si>
    <t>Course, Assignment, Question, Submission, Audio, Transcript, AIResult</t>
  </si>
  <si>
    <t>HTML/CSS/JS + MediaRecorder API; mở rộng Speech-to-Text/LLM API + Node.js</t>
  </si>
  <si>
    <t>HTTP/HTTPS và mô hình client–server; DNS hoạt động thế nào; privacy &amp; security cơ bản trên Web</t>
  </si>
  <si>
    <t>Rubric chấm điểm; giới hạn thời gian; so sánh từ khóa; dashboard lớp; phát hiện bài nộp thiếu nội dung</t>
  </si>
  <si>
    <t>TutorNearMe – Gia sư sinh viên hyperlocal</t>
  </si>
  <si>
    <t>Phụ huynh hoặc người học muốn tìm gia sư sinh viên ở gần, đúng môn, đúng lịch và mức học phí phù hợp. Sinh viên gia sư đăng hồ sơ và khu vực có thể dạy.</t>
  </si>
  <si>
    <t>Người học/Phụ huynh; Gia sư; Quản trị viên</t>
  </si>
  <si>
    <t>Hồ sơ gia sư; môn học; khu vực; lịch rảnh; mức phí; tìm kiếm/lọc; gửi yêu cầu học; xác nhận lịch; trạng thái buổi học; đánh giá.</t>
  </si>
  <si>
    <t>Đã duyệt</t>
  </si>
  <si>
    <t>User, TutorProfile, Subject, Location, Availability, TutoringRequest, Review</t>
  </si>
  <si>
    <t>HTML/CSS/JS + Bootstrap; mở rộng Maps API + React/Node.js</t>
  </si>
  <si>
    <t>Trung bình–Khá</t>
  </si>
  <si>
    <t>Bản đồ gia sư; chat; gói học; xác minh thẻ sinh viên; matching theo khoảng cách</t>
  </si>
  <si>
    <t>Scholarship Radar – Học bổng, cuộc thi &amp; hackathon</t>
  </si>
  <si>
    <t>Trung gian</t>
  </si>
  <si>
    <t>Thông tin học bổng, cuộc thi, hackathon và chương trình sinh viên nằm rải rác ở nhiều nơi. Website gom cơ hội về một nơi và giúp sinh viên lọc theo deadline, lĩnh vực và điều kiện.</t>
  </si>
  <si>
    <t>Sinh viên; Người đăng cơ hội; Quản trị viên</t>
  </si>
  <si>
    <t>Danh sách cơ hội; danh mục; bộ lọc; tìm kiếm; deadline; yêu thích; đánh dấu đã ứng tuyển; trang chi tiết; nhắc hạn; quản trị nội dung.</t>
  </si>
  <si>
    <t>Opportunity, Category, Organization, Deadline, User, Favorite, ApplicationStatus</t>
  </si>
  <si>
    <t>HTML/CSS/JS + Fetch API; mở rộng React/Node.js</t>
  </si>
  <si>
    <t>Trung bình</t>
  </si>
  <si>
    <t>Calendar; email reminder; import RSS/API; gợi ý theo hồ sơ; thống kê cơ hội sắp hết hạn</t>
  </si>
  <si>
    <t>CuDanDeals.vn – Ưu đãi dành riêng cho cư dân</t>
  </si>
  <si>
    <t>Mã nhóm</t>
  </si>
  <si>
    <t>Cư dân chung cư/khu dân cư muốn nhận ưu đãi từ cửa hàng gần nơi ở như nhà hàng, spa, gym, giáo dục và sửa chữa. Đối tác đăng voucher dành riêng cho từng cộng đồng cư dân.</t>
  </si>
  <si>
    <t>Thành viên 1 (Trưởng nhóm)</t>
  </si>
  <si>
    <t>Cư dân; Đối tác kinh doanh; Ban quản lý/Quản trị viên</t>
  </si>
  <si>
    <t>Thành viên 2</t>
  </si>
  <si>
    <t>Danh sách deal; danh mục; khu dân cư áp dụng; chi tiết voucher; lưu ưu đãi; nhận mã; giới hạn lượt dùng; quản lý đối tác; trạng thái voucher.</t>
  </si>
  <si>
    <t>Resident, Community, Partner, Deal, Voucher, Redemption</t>
  </si>
  <si>
    <t>Thành viên 3</t>
  </si>
  <si>
    <t>HTML/CSS/JS + Bootstrap; mở rộng QR code + Node.js/DB</t>
  </si>
  <si>
    <t>Thành viên 4</t>
  </si>
  <si>
    <t>Thành viên 5</t>
  </si>
  <si>
    <t>Tên đề tài</t>
  </si>
  <si>
    <t>QR redeem; deal theo vị trí; chương trình thành viên; dashboard lượt sử dụng; đánh giá đối tác</t>
  </si>
  <si>
    <t>Mô tả ngắn / Phạm vi</t>
  </si>
  <si>
    <t>StudyBuddy – Ghép nhóm học theo môn</t>
  </si>
  <si>
    <t>Công nghệ dự kiến</t>
  </si>
  <si>
    <t>Sinh viên khó tìm bạn học cùng môn, cùng lịch rảnh hoặc cùng mục tiêu. Website giúp tạo nhóm học nhỏ và kết nối sinh viên theo môn học, lịch và hình thức học.</t>
  </si>
  <si>
    <t>Sinh viên; Trưởng nhóm; Quản trị viên</t>
  </si>
  <si>
    <t>Link Requirement</t>
  </si>
  <si>
    <t>Hồ sơ học tập cơ bản; môn đang học; tạo/tìm nhóm; lịch rảnh; gửi yêu cầu tham gia; duyệt thành viên; lịch học nhóm; trạng thái nhóm.</t>
  </si>
  <si>
    <t>User, Subject, StudyGroup, Membership, Availability, StudySession</t>
  </si>
  <si>
    <t>Link Design</t>
  </si>
  <si>
    <t>Link GitHub</t>
  </si>
  <si>
    <t>Demo / Deploy URL</t>
  </si>
  <si>
    <t>HTML/CSS/JS + Bootstrap; mở rộng React/Node.js</t>
  </si>
  <si>
    <t>Chưa bắt đầu</t>
  </si>
  <si>
    <t>Dễ–Trung bình</t>
  </si>
  <si>
    <t>Chưa đăng ký</t>
  </si>
  <si>
    <t>Matching theo lịch; chat nhóm; nhắc lịch; đánh giá mức độ tích cực của thành viên</t>
  </si>
  <si>
    <t>Tuần 2</t>
  </si>
  <si>
    <t>14/09/2026 – 19/09/2026</t>
  </si>
  <si>
    <t>N01</t>
  </si>
  <si>
    <t>Đăng ký đề tài</t>
  </si>
  <si>
    <t>PeerReview Hub – Nộp bài &amp; phản biện chéo</t>
  </si>
  <si>
    <t>Tên đề tài + problem statement + đối tượng người dùng</t>
  </si>
  <si>
    <t>Thùy Trang</t>
  </si>
  <si>
    <t>Giảng viên muốn sinh viên học từ bài làm của nhau và rèn kỹ năng phản biện. Sinh viên nộp bài, hệ thống phân công bài để nhận xét theo rubric.</t>
  </si>
  <si>
    <t>Nêu rõ bài toán, người dùng, giá trị và phạm vi MVP</t>
  </si>
  <si>
    <t>HTML cơ bản</t>
  </si>
  <si>
    <t>Tạo bài tập; nộp bài/link; rubric; phân công phản biện; nhập nhận xét và điểm; xem feedback; giảng viên theo dõi tiến độ.</t>
  </si>
  <si>
    <t>Course, Assignment, Submission, Rubric, ReviewAssignment, PeerReview, User</t>
  </si>
  <si>
    <t>Semantic HTML &amp; SEO; metadata/Open Graph; accessibility và cấu trúc tài liệu tốt</t>
  </si>
  <si>
    <t>Ẩn danh người chấm; nhiều vòng review; thống kê độ lệch điểm; badge phản biện tốt</t>
  </si>
  <si>
    <t>Tuần 3</t>
  </si>
  <si>
    <t>21/09/2026 – 26/09/2026</t>
  </si>
  <si>
    <t>Requirement draft</t>
  </si>
  <si>
    <t>DeadlineHub – Lịch học, bài tập &amp; kỳ thi sinh viên</t>
  </si>
  <si>
    <t>Use case/user story + danh sách chức năng + dữ liệu chính</t>
  </si>
  <si>
    <t>Có chức năng bắt buộc, vai trò, luồng chính và out-of-scope</t>
  </si>
  <si>
    <t>Deadline bài tập, lịch thi và lịch học thường nằm rải rác ở nhiều hệ thống. Website gom tất cả nhiệm vụ học tập vào một lịch cá nhân để sinh viên theo dõi.</t>
  </si>
  <si>
    <t>Sinh viên; Lớp trưởng/Người tạo lịch; Quản trị viên</t>
  </si>
  <si>
    <t>Kiều Oanh</t>
  </si>
  <si>
    <t>Tường Vân</t>
  </si>
  <si>
    <t>Tạo môn học; thêm deadline/sự kiện; calendar/list view; ưu tiên; trạng thái hoàn thành; lọc theo môn; nhắc việc; dashboard việc sắp đến hạn.</t>
  </si>
  <si>
    <t>User, Course, Task, Exam, CalendarEvent, Reminder</t>
  </si>
  <si>
    <t>Tuần 4</t>
  </si>
  <si>
    <t>HTML/CSS/JS + Bootstrap; có thể dùng FullCalendar; mở rộng Node.js</t>
  </si>
  <si>
    <t>28/09/2026 – 03/10/2026</t>
  </si>
  <si>
    <t>Requirement v1 &amp; user flow</t>
  </si>
  <si>
    <t>Phi Nhung</t>
  </si>
  <si>
    <t>Link Requirement hoàn chỉnh vòng 1</t>
  </si>
  <si>
    <t>Khánh Vân</t>
  </si>
  <si>
    <t>Có acceptance criteria cho các chức năng chính</t>
  </si>
  <si>
    <t>Tuần 5</t>
  </si>
  <si>
    <t>05/10/2026 – 10/10/2026</t>
  </si>
  <si>
    <t>Import lịch; nhắc email; chia sẻ lịch lớp; thống kê tỷ lệ hoàn thành</t>
  </si>
  <si>
    <t>Wireframe / Prototype</t>
  </si>
  <si>
    <t>Sitemap + wireframe + prototype màn hình chính</t>
  </si>
  <si>
    <t>Luồng màn hình nhất quán; responsive plan rõ</t>
  </si>
  <si>
    <t>Micro Internship Marketplace</t>
  </si>
  <si>
    <t>2 - Requirement_v0</t>
  </si>
  <si>
    <t>Sinh viên thiếu kinh nghiệm thực tế trong khi SME có nhiều việc nhỏ nhưng chưa cần tuyển intern dài hạn. Doanh nghiệp đăng micro-task/project ngắn; sinh viên ứng tuyển và nộp kết quả.</t>
  </si>
  <si>
    <t>HTML nâng cao – multimedia</t>
  </si>
  <si>
    <t>Sinh viên; Doanh nghiệp/SME; Quản trị viên</t>
  </si>
  <si>
    <t>Tuần 6</t>
  </si>
  <si>
    <t>Responsive images; video/audio trên Web; iframe, SVG và khi nào nên dùng</t>
  </si>
  <si>
    <t>12/10/2026 – 17/10/2026</t>
  </si>
  <si>
    <t>M1 – DESIGN FREEZE</t>
  </si>
  <si>
    <t>Đăng micro internship; mô tả việc/kỹ năng/deadline; hồ sơ sinh viên; ứng tuyển; chọn ứng viên; cập nhật tiến độ; nộp sản phẩm; feedback; trạng thái hoàn thành.</t>
  </si>
  <si>
    <t>Requirement v1 + Link Design + design system cơ bản</t>
  </si>
  <si>
    <t>Student, Company, MicroInternship, Application, Milestone, Submission, Feedback</t>
  </si>
  <si>
    <t>UI chính đủ để bắt đầu code; thống nhất màu, typography, component</t>
  </si>
  <si>
    <t>Portfolio tự động; badge kỹ năng; escrow/điểm thưởng giả lập; recommendation job; chứng nhận hoàn thành</t>
  </si>
  <si>
    <t>MILESTONE 1</t>
  </si>
  <si>
    <t>HTML nâng cao – Table</t>
  </si>
  <si>
    <t>Tuần 7</t>
  </si>
  <si>
    <t>19/10/2026 – 24/10/2026</t>
  </si>
  <si>
    <t>Table accessibility; form &amp; validation; DevTools/HTML validator để gỡ lỗi</t>
  </si>
  <si>
    <t>Implementation sprint 1</t>
  </si>
  <si>
    <t>Khung dự án + layout + component / page chính</t>
  </si>
  <si>
    <t>Repo hoạt động; commit theo thành viên; có README</t>
  </si>
  <si>
    <t>LabBooking UIT – Đăng ký phòng học, phòng lab &amp; thiết bị</t>
  </si>
  <si>
    <t>Sinh viên/nhóm dự án cần đăng ký phòng tự học, phòng lab hoặc thiết bị nhưng dễ trùng lịch. Hệ thống hỗ trợ xem lịch trống và gửi yêu cầu đặt.</t>
  </si>
  <si>
    <t>Tuần 8</t>
  </si>
  <si>
    <t>CSS cơ bản</t>
  </si>
  <si>
    <t>26/10/2026 – 31/10/2026</t>
  </si>
  <si>
    <t>Sinh viên; Cán bộ phòng/lab; Quản trị viên</t>
  </si>
  <si>
    <t>M2 – CODE 50%</t>
  </si>
  <si>
    <t>Cascade &amp; specificity; box model; CSS variables; tổ chức CSS theo BEM</t>
  </si>
  <si>
    <t>Danh sách phòng/thiết bị; lịch trống; đặt lịch; kiểm tra trùng; duyệt/từ chối; hủy đặt; lịch sử sử dụng; quản lý tài nguyên.</t>
  </si>
  <si>
    <t>Link GitHub + bản chạy đạt khoảng 50% chức năng</t>
  </si>
  <si>
    <t>User, Room, Equipment, TimeSlot, Booking, Approval</t>
  </si>
  <si>
    <t>Hoàn thành luồng chính đầu tiên; dữ liệu/API mock hoặc thật hoạt động</t>
  </si>
  <si>
    <t>HTML/CSS/JS + Bootstrap; mở rộng React/Node.js + DB</t>
  </si>
  <si>
    <t>MILESTONE 2</t>
  </si>
  <si>
    <t>QR check-in; giới hạn thời lượng; báo hỏng thiết bị; thống kê mức sử dụng</t>
  </si>
  <si>
    <t>Tuần 9</t>
  </si>
  <si>
    <t>CSS nâng cao – text/font/list/link</t>
  </si>
  <si>
    <t>02/11/2026 – 07/11/2026</t>
  </si>
  <si>
    <t>Implementation sprint 2</t>
  </si>
  <si>
    <t>Web typography; web fonts &amp; performance; thiết kế component link/list dễ truy cập</t>
  </si>
  <si>
    <t>Các chức năng cốt lõi còn lại</t>
  </si>
  <si>
    <t>EduResource Hub – Kho học liệu theo môn</t>
  </si>
  <si>
    <t>Luồng CRUD/interaction chính chạy ổn; xử lý lỗi cơ bản</t>
  </si>
  <si>
    <t>Tài liệu học tập nằm rải rác trong Drive, group và tin nhắn. Website tổ chức học liệu theo môn/chủ đề để sinh viên dễ tìm, đánh giá và chia sẻ.</t>
  </si>
  <si>
    <t>Sinh viên; Giảng viên/Người kiểm duyệt; Quản trị viên</t>
  </si>
  <si>
    <t>Danh mục môn; đăng tài liệu/link; tag; tìm kiếm/lọc; trang chi tiết; yêu thích; đánh giá hữu ích; báo cáo tài liệu lỗi; duyệt nội dung.</t>
  </si>
  <si>
    <t>User, Course, Resource, Tag, Favorite, Rating, Report</t>
  </si>
  <si>
    <t>Tuần 10</t>
  </si>
  <si>
    <t>CSS nâng cao – layout</t>
  </si>
  <si>
    <t>09/11/2026 – 14/11/2026</t>
  </si>
  <si>
    <t>Flexbox vs Grid; responsive layout; positioning, sticky và lỗi layout thường gặp</t>
  </si>
  <si>
    <t>Feature complete &amp; testing</t>
  </si>
  <si>
    <t>Phiên bản tài liệu; bộ sưu tập cá nhân; top tài liệu; gợi ý theo môn đang học</t>
  </si>
  <si>
    <t>Nhóm 8</t>
  </si>
  <si>
    <t>Bản feature-complete + test checklist</t>
  </si>
  <si>
    <t>Không còn blocker lớn; responsive và validation cơ bản</t>
  </si>
  <si>
    <t>ProjectTeam Finder – Tìm đồng đội làm đồ án / hackathon</t>
  </si>
  <si>
    <t>Sinh viên có ý tưởng nhưng thiếu thành viên đúng kỹ năng; người khác muốn tham gia dự án nhưng không biết nhóm nào đang tuyển. Website kết nối theo kỹ năng và vai trò còn thiếu.</t>
  </si>
  <si>
    <t>Đã đăng ký</t>
  </si>
  <si>
    <t>Sinh viên; Trưởng nhóm dự án; Quản trị viên</t>
  </si>
  <si>
    <t>Tuần 11</t>
  </si>
  <si>
    <t>Hồ sơ kỹ năng; đăng dự án; vai trò cần tuyển; tìm kiếm/lọc; ứng tuyển vào nhóm; duyệt thành viên; trạng thái tuyển; trang nhóm dự án.</t>
  </si>
  <si>
    <t>16/11/2026 – 21/11/2026</t>
  </si>
  <si>
    <t>User, Skill, Project, RoleOpening, Application, TeamMember</t>
  </si>
  <si>
    <t>Code freeze &amp; rehearsal</t>
  </si>
  <si>
    <t>Release candidate + Slide + kịch bản demo</t>
  </si>
  <si>
    <t>Demo liên tục; README/deploy guide; phân công thuyết trình</t>
  </si>
  <si>
    <t>Matching kỹ năng; portfolio; lịch phỏng vấn nhóm; đề xuất thành viên phù hợp</t>
  </si>
  <si>
    <t>JavaScript cơ bản</t>
  </si>
  <si>
    <t>ES6+ essentials; scope/closure; array methods; clean JavaScript cho front-end</t>
  </si>
  <si>
    <t>Mini Quiz Classroom – Kiểm tra nhanh trong lớp</t>
  </si>
  <si>
    <t>Giảng viên cần kiểm tra nhanh mức độ hiểu bài trong hoặc sau giờ học. Sinh viên tham gia bằng mã lớp và trả lời quiz trên trình duyệt.</t>
  </si>
  <si>
    <t>Tạo quiz/câu hỏi; mã tham gia; làm bài; giới hạn thời gian; tự chấm câu trắc nghiệm; xem kết quả; thống kê theo câu; lịch sử quiz.</t>
  </si>
  <si>
    <t>User, Class, Quiz, Question, Choice, Attempt, Answer, Result</t>
  </si>
  <si>
    <t>HTML/CSS/JS + Bootstrap; mở rộng Node.js; realtime là tùy chọn</t>
  </si>
  <si>
    <t>JavaScript nâng cao – object/JSON/async</t>
  </si>
  <si>
    <t>Prototype &amp; class; JSON; Promise/async-await; xử lý lỗi bất đồng bộ</t>
  </si>
  <si>
    <t>Bảng xếp hạng; chế độ live; ngân hàng câu hỏi; xuất CSV kết quả; câu hỏi tự luận ngắn</t>
  </si>
  <si>
    <t>Tuần 12</t>
  </si>
  <si>
    <t>23/11/2026 – 28/11/2026</t>
  </si>
  <si>
    <t>M3 – FINAL DEMO</t>
  </si>
  <si>
    <t>JavaScript nâng cao – Web API</t>
  </si>
  <si>
    <t>GitHub final + Demo URL + Slide + tài liệu Requirement/Design</t>
  </si>
  <si>
    <t>Campus Activity – Hoạt động sinh viên &amp; tình nguyện</t>
  </si>
  <si>
    <t>DOM/events; Fetch API; third-party API; Canvas/Media API và bảo mật khi dùng API</t>
  </si>
  <si>
    <t>Demo được chức năng, giao diện, quy trình xây dựng; trả lời Q&amp;A</t>
  </si>
  <si>
    <t>Sinh viên khó theo dõi các hoạt động học thuật, tình nguyện và ngoại khóa phù hợp. Đơn vị tổ chức cần quản lý đăng ký, số lượng và minh chứng tham gia.</t>
  </si>
  <si>
    <t>Sinh viên; Ban tổ chức; Quản trị viên</t>
  </si>
  <si>
    <t>MILESTONE 3</t>
  </si>
  <si>
    <t>Danh sách hoạt động; chi tiết; đăng ký/hủy; giới hạn số lượng; check-in; trạng thái tham gia; tải minh chứng; lịch sử hoạt động cá nhân.</t>
  </si>
  <si>
    <t>User, Activity, Organizer, Registration, CheckIn, Evidence</t>
  </si>
  <si>
    <t>HTML/CSS/JS + Bootstrap; mở rộng QR code + Node.js</t>
  </si>
  <si>
    <t>QR check-in; chứng nhận tham gia; điểm hoạt động giả lập; calendar; thống kê theo học kỳ</t>
  </si>
  <si>
    <t>Ôn tập &amp; framework/nền tảng</t>
  </si>
  <si>
    <t>Bootstrap vs React; Node.js ở đâu trong web stack; deployment, performance và GitHub workflow</t>
  </si>
  <si>
    <t>Nhóm 7</t>
  </si>
  <si>
    <t>Design_v0</t>
  </si>
  <si>
    <t>N02</t>
  </si>
  <si>
    <t xml:space="preserve">24521670 - Trần Trí Thiện </t>
  </si>
  <si>
    <t>23520804 - Phan Chí Kiên</t>
  </si>
  <si>
    <t>Trương Lê Minh Hiếu</t>
  </si>
  <si>
    <t>AgriRent - Nền tảng kết nối &amp; thuê máy nông cụ</t>
  </si>
  <si>
    <t>Máy cày, máy cấy, máy gặt đập liên hợp, drone phun thuốc có giá trị đầu tư cao nhưng chỉ hoạt động rầm rộ trong 2-3 tuần mỗi vụ mùa. Thời gian còn lại, máy móc nằm bãi gây đọng vốn và hao mòn.
Mục tiêu là xây dựng một nền tảng kết nối chủ sở hữu máy nông cụ với các nông hộ có nhu cầu thuê theo vị trí địa lý, tối ưu hóa công suất máy và minh bạch hóa chi phí thuê theo diện tích hoặc thời gian.
Ngoài ra có thể có thể cung cấp dịch vụ nhân công thời vụ</t>
  </si>
  <si>
    <t>Requirement</t>
  </si>
  <si>
    <t>Demo</t>
  </si>
  <si>
    <t>N03</t>
  </si>
  <si>
    <t>24520581 - Phạm Ngọc Huấn</t>
  </si>
  <si>
    <t>Phú Lê</t>
  </si>
  <si>
    <t>Phi Võ</t>
  </si>
  <si>
    <t>Khánh Hưng</t>
  </si>
  <si>
    <t>Huỳn Bảo Hân</t>
  </si>
  <si>
    <t xml:space="preserve">3: AI OralCheck – Kiểm tra mức độ hiểu bài qua ghi âm
</t>
  </si>
  <si>
    <t>Xây dựng web app cho phép giảng viên tạo câu hỏi ngắn; sinh viên dùng micro trên trình duyệt để ghi âm câu trả lời. Hệ thống chuyển âm thanh thành văn bản và ứng dụng AI phân tích, phản hồi ý đúng/sai/thiếu và gợi ý điểm, giúp giảng viên tiết kiệm thời gian chấm bài.</t>
  </si>
  <si>
    <t>Canva</t>
  </si>
  <si>
    <t>N04</t>
  </si>
  <si>
    <t>Trí Thanh</t>
  </si>
  <si>
    <t>Thanh Hải</t>
  </si>
  <si>
    <t>Đoàn Thành Nhân</t>
  </si>
  <si>
    <t>Nam Trung</t>
  </si>
  <si>
    <t>xây dựng nền tảng web UIT-CONNECT hoạt động như một hệ sinh thái số hóa tập trung, kết nối 3 đối tượng trọng tâm: Sinh viên, Giảng viên và Doanh nghiệp. Hệ thống cung cấp không gian số hóa toàn diện cho các Đồ án môn học, Sản phẩm thực tế và Bài báo khoa học, biến các kết quả này thành tài sản học thuật mở cho sinh viên kế thừa, đồng thời là hồ sơ năng lực thực chiến chứng minh giá trị của sinh viên trước giảng viên hướng dẫn và nhà tuyển dụng.</t>
  </si>
  <si>
    <t>N05</t>
  </si>
  <si>
    <t>N06</t>
  </si>
  <si>
    <t>Lê Quốc Anh</t>
  </si>
  <si>
    <t>Pơloong Xim</t>
  </si>
  <si>
    <t>Trần Đặng Quốc Trọng</t>
  </si>
  <si>
    <t>Phạm Vũ - 24522040</t>
  </si>
  <si>
    <t>Nền tảng cung cấp dịch vụ sửa xe tại chỗ</t>
  </si>
  <si>
    <t xml:space="preserve">Frontend: React JS
Backend: Springboot
</t>
  </si>
  <si>
    <t>N07</t>
  </si>
  <si>
    <t xml:space="preserve">24520752 - Nguyễn Cao Hoàng Khang  </t>
  </si>
  <si>
    <t>24520779 - Đỗ Quốc Khánh</t>
  </si>
  <si>
    <t>24520757 - Nguyễn Gia Khang</t>
  </si>
  <si>
    <t>23520973 - Lưu Nhật Nam</t>
  </si>
  <si>
    <t>24521476 - Phạm Chí Quang</t>
  </si>
  <si>
    <t xml:space="preserve">Nhiều sinh viên có kiến thức chuyên môn và nhu cầu làm gia sư để kiếm thêm thu nhập nhưng gặp khó khăn trong việc tìm kiếm học viên phù hợp với môn học, lịch rảnh và khu vực có thể giảng dạy.
TutorNearMe là nền tảng hyperlocal giúp sinh viên tạo hồ sơ gia sư, đăng môn có thể dạy, mức học phí, lịch rảnh và khu vực hoạt động; đồng thời kết nối họ với người học hoặc phụ huynh có nhu cầu ở gần. Hệ thống hỗ trợ tìm kiếm và matching dựa trên môn học, vị trí, thời gian và mức phí, cùng các chức năng gửi yêu cầu học, xác nhận lịch và đánh giá sau buổi học.
</t>
  </si>
  <si>
    <t>DemoUI</t>
  </si>
  <si>
    <t>N08</t>
  </si>
  <si>
    <t>24520513 - Trần Kim Hiệu</t>
  </si>
  <si>
    <t>24521088 - Trần Quang Minh</t>
  </si>
  <si>
    <t>25520339 - Nguyễn Văn Anh Đức</t>
  </si>
  <si>
    <t>LEARN – Learning Enhancement and Adaptive Resource Navigator</t>
  </si>
  <si>
    <t>nền tảng ứng dụng AI giúp tự động chuyển đổi tài liệu học tập thành các lộ trình bài giảng tương tác kèm câu hỏi kiểm tra, hỗ trợ người học ôn luyện và đánh giá kiến thức một cách hệ thống.</t>
  </si>
  <si>
    <t>REQUIREMENTS</t>
  </si>
  <si>
    <t>Demo UI</t>
  </si>
  <si>
    <t>N09</t>
  </si>
  <si>
    <t>N10</t>
  </si>
  <si>
    <t>Nguyễn Quang Hào - 24520460</t>
  </si>
  <si>
    <t>Tiêu Nhựt Hào - 24520461</t>
  </si>
  <si>
    <t>Trương Quốc Việt - 24522004</t>
  </si>
  <si>
    <t>Vũ Thái Học - 24520577</t>
  </si>
  <si>
    <t>N11</t>
  </si>
  <si>
    <t>N12</t>
  </si>
  <si>
    <t>Phan Tuấn Anh - 24520126</t>
  </si>
  <si>
    <t>Lê Nguyễn Hồng Doanh - 24520307</t>
  </si>
  <si>
    <t>Trần Lĩnh Kiên - 24520890</t>
  </si>
  <si>
    <t>14: Mini Quiz Classroom – Kiểm tra nhanh trong lớp</t>
  </si>
  <si>
    <t>Demo UI Stitch Zip</t>
  </si>
  <si>
    <t>N13</t>
  </si>
  <si>
    <t>Nguyễn Đỗ Bảo Uyên-24521970</t>
  </si>
  <si>
    <t>Văn Thanh Thảo - 24521652</t>
  </si>
  <si>
    <t>Nguyễn Ngọc Tường Vi</t>
  </si>
  <si>
    <t>Huỳnh Nguyễn Thảo Uyên</t>
  </si>
  <si>
    <t xml:space="preserve">Requirements
</t>
  </si>
  <si>
    <t>N14</t>
  </si>
  <si>
    <t>Sitemap+userflow_v0</t>
  </si>
  <si>
    <t>N15</t>
  </si>
  <si>
    <t>N16</t>
  </si>
  <si>
    <t>N17</t>
  </si>
  <si>
    <t>N18</t>
  </si>
  <si>
    <t>N19</t>
  </si>
  <si>
    <t>N20</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</si>
</sst>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yyyy"/>
  </numFmts>
  <fonts count="23">
    <font>
      <sz val="11.0"/>
      <color rgb="FF000000"/>
      <name val="Carlito"/>
      <scheme val="minor"/>
    </font>
    <font>
      <b/>
      <sz val="16.0"/>
      <color rgb="FFFFFFFF"/>
      <name val="Carlito"/>
    </font>
    <font>
      <i/>
      <sz val="11.0"/>
      <color rgb="FF1F1F1F"/>
      <name val="Carlito"/>
    </font>
    <font>
      <b/>
      <sz val="10.0"/>
      <color rgb="FFFFFFFF"/>
      <name val="Carlito"/>
    </font>
    <font>
      <b/>
      <sz val="11.0"/>
      <color rgb="FF17365D"/>
      <name val="Carlito"/>
    </font>
    <font>
      <sz val="11.0"/>
      <color theme="1"/>
      <name val="Carlito"/>
    </font>
    <font>
      <b/>
      <sz val="12.0"/>
      <color rgb="FF2E7D32"/>
      <name val="Carlito"/>
    </font>
    <font>
      <sz val="11.0"/>
      <color rgb="FF0563C1"/>
      <name val="Carlito"/>
    </font>
    <font>
      <u/>
      <sz val="11.0"/>
      <color rgb="FF0563C1"/>
      <name val="Carlito"/>
    </font>
    <font>
      <u/>
      <sz val="11.0"/>
      <color rgb="FF0000FF"/>
      <name val="Carlito"/>
    </font>
    <font>
      <u/>
      <sz val="11.0"/>
      <color rgb="FF467886"/>
      <name val="Carlito"/>
    </font>
    <font>
      <sz val="12.0"/>
      <color rgb="FF000000"/>
      <name val="'Times New Roman'"/>
    </font>
    <font>
      <u/>
      <sz val="11.0"/>
      <color rgb="FF0000FF"/>
      <name val="Arial"/>
    </font>
    <font>
      <sz val="11.0"/>
      <color rgb="FF081B3A"/>
      <name val="Carlito"/>
    </font>
    <font>
      <b/>
      <u/>
      <sz val="11.0"/>
      <color rgb="FF0000FF"/>
      <name val="Carlito"/>
    </font>
    <font>
      <u/>
      <sz val="11.0"/>
      <color rgb="FF000000"/>
      <name val="Carlito"/>
    </font>
    <font>
      <u/>
      <sz val="11.0"/>
      <color rgb="FF000000"/>
      <name val="Carlito"/>
    </font>
    <font>
      <strike/>
      <sz val="11.0"/>
      <color rgb="FF000000"/>
      <name val="Carlito"/>
    </font>
    <font>
      <u/>
      <sz val="11.0"/>
      <color rgb="FF467886"/>
      <name val="Carlito"/>
    </font>
    <font>
      <u/>
      <sz val="11.0"/>
      <color rgb="FF467886"/>
      <name val="Carlito"/>
    </font>
    <font/>
    <font>
      <u/>
      <sz val="11.0"/>
      <color rgb="FF0000FF"/>
      <name val="Carlito"/>
    </font>
    <font>
      <color theme="1"/>
      <name val="Carlito"/>
      <scheme val="minor"/>
    </font>
  </fonts>
  <fills count="8">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2F75B5"/>
        <bgColor rgb="FF2F75B5"/>
      </patternFill>
    </fill>
    <fill>
      <patternFill patternType="solid">
        <fgColor rgb="FFD9EAF7"/>
        <bgColor rgb="FFD9EAF7"/>
      </patternFill>
    </fill>
    <fill>
      <patternFill patternType="solid">
        <fgColor rgb="FFE2F0D9"/>
        <bgColor rgb="FFE2F0D9"/>
      </patternFill>
    </fill>
    <fill>
      <patternFill patternType="solid">
        <fgColor rgb="FFFFFFFF"/>
        <bgColor rgb="FFFFFFFF"/>
      </patternFill>
    </fill>
  </fills>
  <borders count="9">
    <border/>
    <border>
      <left style="dotted">
        <color rgb="FF000000"/>
      </left>
      <top style="dotted">
        <color rgb="FF000000"/>
      </top>
    </border>
    <border>
      <top style="dotted">
        <color rgb="FF000000"/>
      </top>
    </border>
    <border>
      <right style="dotted">
        <color rgb="FF000000"/>
      </right>
      <top style="dotted">
        <color rgb="FF000000"/>
      </top>
    </border>
    <border>
      <left style="dotted">
        <color rgb="FF000000"/>
      </left>
    </border>
    <border>
      <right style="dotted">
        <color rgb="FF000000"/>
      </right>
    </border>
    <border>
      <left style="dotted">
        <color rgb="FF000000"/>
      </left>
      <bottom style="dotted">
        <color rgb="FF000000"/>
      </bottom>
    </border>
    <border>
      <bottom style="dotted">
        <color rgb="FF000000"/>
      </bottom>
    </border>
    <border>
      <right style="dotted">
        <color rgb="FF000000"/>
      </right>
      <bottom style="dotted">
        <color rgb="FF000000"/>
      </bottom>
    </border>
  </borders>
  <cellStyleXfs count="1">
    <xf borderId="0" fillId="0" fontId="0" numFmtId="0" applyAlignment="1" applyFont="1"/>
  </cellStyleXfs>
  <cellXfs count="43">
    <xf borderId="0" fillId="0" fontId="0" numFmtId="0" xfId="0" applyAlignment="1" applyFont="1">
      <alignment readingOrder="0" shrinkToFit="0" vertical="bottom" wrapText="0"/>
    </xf>
    <xf borderId="0" fillId="2" fontId="1" numFmtId="0" xfId="0" applyAlignment="1" applyFill="1" applyFont="1">
      <alignment horizontal="left" vertical="center"/>
    </xf>
    <xf borderId="0" fillId="2" fontId="1" numFmtId="0" xfId="0" applyAlignment="1" applyFill="1" applyFont="1">
      <alignment horizontal="left" readingOrder="0" vertical="center"/>
    </xf>
    <xf borderId="0" fillId="3" fontId="2" numFmtId="0" xfId="0" applyAlignment="1" applyFill="1" applyFont="1">
      <alignment shrinkToFit="0" vertical="center" wrapText="1"/>
    </xf>
    <xf borderId="0" fillId="3" fontId="2" numFmtId="0" xfId="0" applyAlignment="1" applyFill="1" applyFont="1">
      <alignment readingOrder="0" shrinkToFit="0" vertical="center" wrapText="1"/>
    </xf>
    <xf borderId="0" fillId="4" fontId="3" numFmtId="0" xfId="0" applyAlignment="1" applyFill="1" applyFont="1">
      <alignment horizontal="center" shrinkToFit="0" vertical="center" wrapText="1"/>
    </xf>
    <xf borderId="0" fillId="5" fontId="4" numFmtId="0" xfId="0" applyAlignment="1" applyFill="1" applyFont="1">
      <alignment horizontal="center" shrinkToFit="0" vertical="center" wrapText="1"/>
    </xf>
    <xf borderId="0" fillId="2" fontId="1" numFmtId="0" xfId="0" applyAlignment="1" applyFill="1" applyFont="1">
      <alignment horizontal="center" vertical="center"/>
    </xf>
    <xf borderId="0" fillId="0" fontId="5" numFmtId="0" xfId="0" applyAlignment="1" applyFont="1">
      <alignment shrinkToFit="0" vertical="top" wrapText="1"/>
    </xf>
    <xf borderId="0" fillId="6" fontId="6" numFmtId="0" xfId="0" applyAlignment="1" applyFill="1" applyFont="1">
      <alignment horizontal="center" shrinkToFit="0" vertical="center" wrapText="1"/>
    </xf>
    <xf borderId="0" fillId="0" fontId="5" numFmtId="164" xfId="0" applyAlignment="1" applyFont="1" applyNumberFormat="1">
      <alignment shrinkToFit="0" vertical="top" wrapText="1"/>
    </xf>
    <xf borderId="0" fillId="6" fontId="6" numFmtId="0" xfId="0" applyAlignment="1" applyFill="1" applyFont="1">
      <alignment horizontal="center" readingOrder="0" shrinkToFit="0" vertical="center" wrapText="1"/>
    </xf>
    <xf borderId="0" fillId="0" fontId="5" numFmtId="0" xfId="0" applyAlignment="1" applyFont="1">
      <alignment horizontal="center" shrinkToFit="0" vertical="center" wrapText="1"/>
    </xf>
    <xf borderId="0" fillId="0" fontId="7" numFmtId="0" xfId="0" applyAlignment="1" applyFont="1">
      <alignment shrinkToFit="0" vertical="top" wrapText="1"/>
    </xf>
    <xf borderId="0" fillId="0" fontId="5" numFmtId="9" xfId="0" applyAlignment="1" applyFont="1" applyNumberFormat="1">
      <alignment shrinkToFit="0" vertical="top" wrapText="1"/>
    </xf>
    <xf borderId="0" fillId="0" fontId="5" numFmtId="0" xfId="0" applyAlignment="1" applyFont="1">
      <alignment readingOrder="0" shrinkToFit="0" vertical="top" wrapText="1"/>
    </xf>
    <xf borderId="0" fillId="0" fontId="5" numFmtId="0" xfId="0" applyAlignment="1" applyFont="1">
      <alignment horizontal="center" readingOrder="0" shrinkToFit="0" vertical="center" wrapText="1"/>
    </xf>
    <xf borderId="0" fillId="0" fontId="5" numFmtId="0" xfId="0" applyAlignment="1" applyFont="1">
      <alignment shrinkToFit="0" wrapText="1"/>
    </xf>
    <xf borderId="0" fillId="0" fontId="8" numFmtId="0" xfId="0" applyAlignment="1" applyFont="1">
      <alignment readingOrder="0" shrinkToFit="0" vertical="top" wrapText="1"/>
    </xf>
    <xf borderId="0" fillId="0" fontId="9" numFmtId="0" xfId="0" applyAlignment="1" applyFont="1">
      <alignment readingOrder="0" shrinkToFit="0" vertical="top" wrapText="1"/>
    </xf>
    <xf borderId="0" fillId="0" fontId="10" numFmtId="0" xfId="0" applyAlignment="1" applyFont="1">
      <alignment readingOrder="0" shrinkToFit="0" vertical="top" wrapText="1"/>
    </xf>
    <xf borderId="0" fillId="0" fontId="7" numFmtId="0" xfId="0" applyAlignment="1" applyFont="1">
      <alignment readingOrder="0" shrinkToFit="0" vertical="top" wrapText="1"/>
    </xf>
    <xf borderId="0" fillId="0" fontId="11" numFmtId="0" xfId="0" applyAlignment="1" applyFont="1">
      <alignment readingOrder="0" shrinkToFit="0" wrapText="1"/>
    </xf>
    <xf borderId="0" fillId="0" fontId="12" numFmtId="0" xfId="0" applyAlignment="1" applyFont="1">
      <alignment readingOrder="0" shrinkToFit="0" vertical="top" wrapText="1"/>
    </xf>
    <xf borderId="0" fillId="0" fontId="5" numFmtId="0" xfId="0" applyAlignment="1" applyFont="1">
      <alignment shrinkToFit="0" vertical="center" wrapText="1"/>
    </xf>
    <xf borderId="0" fillId="0" fontId="5" numFmtId="0" xfId="0" applyAlignment="1" applyFont="1">
      <alignment readingOrder="0" shrinkToFit="0" vertical="center" wrapText="1"/>
    </xf>
    <xf borderId="0" fillId="7" fontId="13" numFmtId="0" xfId="0" applyAlignment="1" applyFill="1" applyFont="1">
      <alignment readingOrder="0" shrinkToFit="0" vertical="center" wrapText="1"/>
    </xf>
    <xf borderId="0" fillId="0" fontId="14" numFmtId="0" xfId="0" applyAlignment="1" applyFont="1">
      <alignment horizontal="center" readingOrder="0" shrinkToFit="0" vertical="center" wrapText="1"/>
    </xf>
    <xf borderId="0" fillId="0" fontId="15" numFmtId="0" xfId="0" applyAlignment="1" applyFont="1">
      <alignment horizontal="center" shrinkToFit="0" vertical="top" wrapText="1"/>
    </xf>
    <xf borderId="0" fillId="0" fontId="16" numFmtId="0" xfId="0" applyAlignment="1" applyFont="1">
      <alignment horizontal="center" readingOrder="0" shrinkToFit="0" vertical="top" wrapText="1"/>
    </xf>
    <xf borderId="0" fillId="0" fontId="17" numFmtId="0" xfId="0" applyAlignment="1" applyFont="1">
      <alignment horizontal="center" shrinkToFit="0" vertical="top" wrapText="1"/>
    </xf>
    <xf borderId="1" fillId="0" fontId="5" numFmtId="0" xfId="0" applyAlignment="1" applyBorder="1" applyFont="1">
      <alignment shrinkToFit="0" vertical="top" wrapText="1"/>
    </xf>
    <xf borderId="2" fillId="0" fontId="5" numFmtId="0" xfId="0" applyAlignment="1" applyBorder="1" applyFont="1">
      <alignment shrinkToFit="0" vertical="top" wrapText="1"/>
    </xf>
    <xf borderId="2" fillId="0" fontId="18" numFmtId="0" xfId="0" applyAlignment="1" applyBorder="1" applyFont="1">
      <alignment horizontal="center" readingOrder="0" shrinkToFit="0" vertical="top" wrapText="1"/>
    </xf>
    <xf borderId="3" fillId="0" fontId="19" numFmtId="0" xfId="0" applyAlignment="1" applyBorder="1" applyFont="1">
      <alignment horizontal="center" readingOrder="0" shrinkToFit="0" vertical="top" wrapText="1"/>
    </xf>
    <xf borderId="0" fillId="0" fontId="17" numFmtId="0" xfId="0" applyAlignment="1" applyFont="1">
      <alignment shrinkToFit="0" vertical="top" wrapText="1"/>
    </xf>
    <xf borderId="4" fillId="0" fontId="20" numFmtId="0" xfId="0" applyBorder="1" applyFont="1"/>
    <xf borderId="5" fillId="0" fontId="21" numFmtId="0" xfId="0" applyAlignment="1" applyBorder="1" applyFont="1">
      <alignment horizontal="center" readingOrder="0" shrinkToFit="0" vertical="top" wrapText="1"/>
    </xf>
    <xf borderId="6" fillId="0" fontId="22" numFmtId="0" xfId="0" applyBorder="1" applyFont="1"/>
    <xf borderId="7" fillId="0" fontId="5" numFmtId="0" xfId="0" applyAlignment="1" applyBorder="1" applyFont="1">
      <alignment shrinkToFit="0" vertical="top" wrapText="1"/>
    </xf>
    <xf borderId="7" fillId="0" fontId="7" numFmtId="0" xfId="0" applyAlignment="1" applyBorder="1" applyFont="1">
      <alignment shrinkToFit="0" vertical="top" wrapText="1"/>
    </xf>
    <xf borderId="8" fillId="0" fontId="7" numFmtId="0" xfId="0" applyAlignment="1" applyBorder="1" applyFont="1">
      <alignment shrinkToFit="0" vertical="top" wrapText="1"/>
    </xf>
    <xf borderId="0" fillId="0" fontId="7" numFmtId="0" xfId="0" applyAlignment="1" applyFont="1">
      <alignment horizontal="center" shrinkToFit="0" vertical="top" wrapText="1"/>
    </xf>
  </cellXfs>
  <cellStyles count="1">
    <cellStyle xfId="0" name="Normal" builtinId="0"/>
  </cellStyles>
  <dxfs count="4">
    <dxf>
      <font>
        <b/>
        <color rgb="FF2E7D32"/>
      </font>
      <fill>
        <patternFill patternType="solid">
          <fgColor rgb="FFE2F0D9"/>
          <bgColor rgb="FFE2F0D9"/>
        </patternFill>
      </fill>
      <border/>
    </dxf>
    <dxf>
      <font>
        <b/>
        <color rgb="FFC00000"/>
      </font>
      <fill>
        <patternFill patternType="solid">
          <fgColor rgb="FFFCE4D6"/>
          <bgColor rgb="FFFCE4D6"/>
        </patternFill>
      </fill>
      <border/>
    </dxf>
    <dxf>
      <font>
        <color rgb="FF9C6500"/>
      </font>
      <fill>
        <patternFill patternType="solid">
          <fgColor rgb="FFFFF2CC"/>
          <bgColor rgb="FFFFF2CC"/>
        </patternFill>
      </fill>
      <border/>
    </dxf>
    <dxf>
      <font>
        <b/>
        <color rgb="FF006100"/>
      </font>
      <fill>
        <patternFill patternType="solid">
          <fgColor rgb="FFC6E0B4"/>
          <bgColor rgb="FFC6E0B4"/>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1" Type="http://schemas.openxmlformats.org/officeDocument/2006/relationships/hyperlink" Target="https://drive.google.com/file/d/1n2xw0O0o0szlhLBJmwwAnT5ESJqTLmOf/view?usp=sharing" TargetMode="External"/><Relationship Id="rId10" Type="http://schemas.openxmlformats.org/officeDocument/2006/relationships/hyperlink" Target="https://tutor-demo-mu.vercel.app/" TargetMode="External"/><Relationship Id="rId13" Type="http://schemas.openxmlformats.org/officeDocument/2006/relationships/hyperlink" Target="https://drive.google.com/file/d/1wqzCmPtKTMLcZPesS0UbQW7ipKp-ty50/view?usp=sharing" TargetMode="External"/><Relationship Id="rId12" Type="http://schemas.openxmlformats.org/officeDocument/2006/relationships/hyperlink" Target="https://drive.google.com/drive/folders/1lxTPPEZIToX2IuADGtNfrP822WwS30UU?usp=drive_link" TargetMode="External"/><Relationship Id="rId1" Type="http://schemas.openxmlformats.org/officeDocument/2006/relationships/hyperlink" Target="https://docs.google.com/document/d/1vCTShqCZpJZE6VTINIPFIpzs8L_jK5pgvRGfMthdMJA/edit?usp=sharing" TargetMode="External"/><Relationship Id="rId2" Type="http://schemas.openxmlformats.org/officeDocument/2006/relationships/hyperlink" Target="https://stitch.withgoogle.com/projects/18162445571202785739" TargetMode="External"/><Relationship Id="rId3" Type="http://schemas.openxmlformats.org/officeDocument/2006/relationships/hyperlink" Target="https://docs.google.com/spreadsheets/d/1r9U2H71mjzv5ruKMmuCpS1vcetK0o6rTeES48XphuM4/edit?usp=sharing" TargetMode="External"/><Relationship Id="rId4" Type="http://schemas.openxmlformats.org/officeDocument/2006/relationships/hyperlink" Target="https://agri-rent-demo.vercel.app/" TargetMode="External"/><Relationship Id="rId9" Type="http://schemas.openxmlformats.org/officeDocument/2006/relationships/hyperlink" Target="https://docs.google.com/spreadsheets/d/1oQRpxXyaJcirgjMDKFcNhW2adK3xKJx6EiGx18h2ntM/edit?usp=sharing" TargetMode="External"/><Relationship Id="rId15" Type="http://schemas.openxmlformats.org/officeDocument/2006/relationships/hyperlink" Target="https://docs.google.com/document/d/1FSv2psd7-0kvwjbSULLEWpSneymGgFHcTYkJk7yFSQ8/edit?usp=sharing" TargetMode="External"/><Relationship Id="rId14" Type="http://schemas.openxmlformats.org/officeDocument/2006/relationships/hyperlink" Target="https://drive.google.com/drive/folders/1uu_NnIeQRKQLLa2iYog9YBlGZyeJgiLm?usp=drive_link" TargetMode="External"/><Relationship Id="rId17" Type="http://schemas.openxmlformats.org/officeDocument/2006/relationships/hyperlink" Target="https://drive.google.com/file/d/1pSvpT-cqMNPSLTuYFusy7OmnU_95tDUg/view?usp=drive_link" TargetMode="External"/><Relationship Id="rId16" Type="http://schemas.openxmlformats.org/officeDocument/2006/relationships/hyperlink" Target="https://stitch.withgoogle.com/projects/4072272426596757748" TargetMode="External"/><Relationship Id="rId5" Type="http://schemas.openxmlformats.org/officeDocument/2006/relationships/hyperlink" Target="https://docs.google.com/document/d/1aJ3sx-sB7JgVuPu-wfi1Vks1d8riL-JBvXRr2P0Tzqw/edit?tab=t.0" TargetMode="External"/><Relationship Id="rId6" Type="http://schemas.openxmlformats.org/officeDocument/2006/relationships/hyperlink" Target="https://www.canva.com/design/DAHVaxjCN2s/l-n3LWMTz-DX5fKUwvMuaQ/edit" TargetMode="External"/><Relationship Id="rId18" Type="http://schemas.openxmlformats.org/officeDocument/2006/relationships/drawing" Target="../drawings/drawing1.xml"/><Relationship Id="rId7" Type="http://schemas.openxmlformats.org/officeDocument/2006/relationships/hyperlink" Target="https://docs.google.com/document/u/2/d/1-tsJUkNYqFVxj8LkmKxGy3GIJzK216-hWezvVAuMAPw/edit" TargetMode="External"/><Relationship Id="rId8" Type="http://schemas.openxmlformats.org/officeDocument/2006/relationships/hyperlink" Target="https://docs.google.com/document/d/1VJA30vxjpWb-pFWKUVdJUmnTQPXFzGFzasLpB5gZ8DQ/edit?usp=sharing"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0"/>
    <col customWidth="1" min="2" max="2" width="10.0"/>
    <col customWidth="1" min="3" max="7" width="22.0"/>
    <col customWidth="1" min="8" max="8" width="28.0"/>
    <col customWidth="1" min="9" max="9" width="34.0"/>
    <col customWidth="1" min="10" max="15" width="24.0"/>
    <col customWidth="1" min="16" max="16" width="16.0"/>
    <col customWidth="1" min="17" max="26" width="8.88"/>
  </cols>
  <sheetData>
    <row r="1" ht="36.75" customHeight="1">
      <c r="A1" s="2" t="s">
        <v>0</v>
      </c>
    </row>
    <row r="2" ht="48.0" customHeight="1">
      <c r="A2" s="4" t="s">
        <v>0</v>
      </c>
    </row>
    <row r="3" ht="13.5" customHeight="1"/>
    <row r="4" ht="13.5" customHeight="1">
      <c r="A4" s="6" t="s">
        <v>5</v>
      </c>
      <c r="B4" s="9">
        <f>COUNTIF(C7:C26,"&lt;&gt;")</f>
        <v>10</v>
      </c>
      <c r="C4" s="6" t="s">
        <v>31</v>
      </c>
      <c r="D4" s="9">
        <f>COUNTIF(H7:H26,"&lt;&gt;")</f>
        <v>10</v>
      </c>
      <c r="E4" s="6" t="s">
        <v>46</v>
      </c>
      <c r="F4" s="11" t="s">
        <v>0</v>
      </c>
      <c r="G4" s="6" t="s">
        <v>72</v>
      </c>
      <c r="H4" s="9">
        <f>COUNTIF(P7:P26,"Đã duyệt")</f>
        <v>0</v>
      </c>
    </row>
    <row r="5" ht="13.5" customHeight="1"/>
    <row r="6" ht="45.0" customHeight="1">
      <c r="A6" s="5" t="s">
        <v>12</v>
      </c>
      <c r="B6" s="5" t="s">
        <v>87</v>
      </c>
      <c r="C6" s="5" t="s">
        <v>89</v>
      </c>
      <c r="D6" s="5" t="s">
        <v>91</v>
      </c>
      <c r="E6" s="5" t="s">
        <v>94</v>
      </c>
      <c r="F6" s="5" t="s">
        <v>96</v>
      </c>
      <c r="G6" s="5" t="s">
        <v>97</v>
      </c>
      <c r="H6" s="5" t="s">
        <v>98</v>
      </c>
      <c r="I6" s="5" t="s">
        <v>100</v>
      </c>
      <c r="J6" s="5" t="s">
        <v>102</v>
      </c>
      <c r="K6" s="5" t="s">
        <v>105</v>
      </c>
      <c r="L6" s="5" t="s">
        <v>108</v>
      </c>
      <c r="M6" s="5" t="s">
        <v>109</v>
      </c>
      <c r="N6" s="5" t="s">
        <v>15</v>
      </c>
      <c r="O6" s="5" t="s">
        <v>110</v>
      </c>
      <c r="P6" s="5" t="s">
        <v>19</v>
      </c>
    </row>
    <row r="7" ht="13.5" customHeight="1">
      <c r="A7" s="8">
        <v>1.0</v>
      </c>
      <c r="B7" s="8" t="s">
        <v>118</v>
      </c>
      <c r="C7" s="15" t="s">
        <v>122</v>
      </c>
      <c r="D7" s="15" t="s">
        <v>138</v>
      </c>
      <c r="E7" s="15" t="s">
        <v>139</v>
      </c>
      <c r="F7" s="15" t="s">
        <v>146</v>
      </c>
      <c r="G7" s="15" t="s">
        <v>148</v>
      </c>
      <c r="H7" s="8" t="s">
        <v>51</v>
      </c>
      <c r="I7" s="8"/>
      <c r="J7" s="8"/>
      <c r="K7" s="18" t="s">
        <v>157</v>
      </c>
      <c r="L7" s="19" t="s">
        <v>254</v>
      </c>
      <c r="M7" s="13"/>
      <c r="N7" s="13"/>
      <c r="O7" s="13"/>
      <c r="P7" s="8" t="s">
        <v>114</v>
      </c>
    </row>
    <row r="8" ht="13.5" customHeight="1">
      <c r="A8" s="8">
        <v>2.0</v>
      </c>
      <c r="B8" s="8" t="s">
        <v>255</v>
      </c>
      <c r="C8" s="15" t="s">
        <v>256</v>
      </c>
      <c r="D8" s="15" t="s">
        <v>257</v>
      </c>
      <c r="E8" s="15" t="s">
        <v>258</v>
      </c>
      <c r="F8" s="8"/>
      <c r="G8" s="8"/>
      <c r="H8" s="15" t="s">
        <v>259</v>
      </c>
      <c r="I8" s="15" t="s">
        <v>260</v>
      </c>
      <c r="J8" s="8"/>
      <c r="K8" s="20" t="s">
        <v>261</v>
      </c>
      <c r="L8" s="19" t="s">
        <v>262</v>
      </c>
      <c r="M8" s="21"/>
      <c r="N8" s="13"/>
      <c r="O8" s="13"/>
      <c r="P8" s="8" t="s">
        <v>114</v>
      </c>
    </row>
    <row r="9" ht="13.5" customHeight="1">
      <c r="A9" s="8">
        <v>3.0</v>
      </c>
      <c r="B9" s="8" t="s">
        <v>263</v>
      </c>
      <c r="C9" s="15" t="s">
        <v>264</v>
      </c>
      <c r="D9" s="15" t="s">
        <v>265</v>
      </c>
      <c r="E9" s="15" t="s">
        <v>266</v>
      </c>
      <c r="F9" s="15" t="s">
        <v>267</v>
      </c>
      <c r="G9" s="15" t="s">
        <v>268</v>
      </c>
      <c r="H9" s="15" t="s">
        <v>269</v>
      </c>
      <c r="I9" s="22" t="s">
        <v>270</v>
      </c>
      <c r="J9" s="8"/>
      <c r="K9" s="19" t="s">
        <v>261</v>
      </c>
      <c r="L9" s="19" t="s">
        <v>271</v>
      </c>
      <c r="M9" s="13"/>
      <c r="N9" s="13"/>
      <c r="O9" s="13"/>
      <c r="P9" s="8" t="s">
        <v>114</v>
      </c>
    </row>
    <row r="10" ht="13.5" customHeight="1">
      <c r="A10" s="8">
        <v>4.0</v>
      </c>
      <c r="B10" s="8" t="s">
        <v>272</v>
      </c>
      <c r="C10" s="15" t="s">
        <v>273</v>
      </c>
      <c r="D10" s="15" t="s">
        <v>274</v>
      </c>
      <c r="E10" s="15" t="s">
        <v>275</v>
      </c>
      <c r="F10" s="15" t="s">
        <v>276</v>
      </c>
      <c r="G10" s="15"/>
      <c r="H10" s="8" t="s">
        <v>51</v>
      </c>
      <c r="I10" s="15" t="s">
        <v>277</v>
      </c>
      <c r="J10" s="8"/>
      <c r="K10" s="23" t="s">
        <v>261</v>
      </c>
      <c r="L10" s="13"/>
      <c r="M10" s="13"/>
      <c r="N10" s="13"/>
      <c r="O10" s="13"/>
      <c r="P10" s="8" t="s">
        <v>114</v>
      </c>
    </row>
    <row r="11" ht="13.5" customHeight="1">
      <c r="A11" s="8">
        <v>5.0</v>
      </c>
      <c r="B11" s="8" t="s">
        <v>278</v>
      </c>
      <c r="G11" s="8"/>
      <c r="H11" s="8"/>
      <c r="I11" s="8"/>
      <c r="J11" s="8"/>
      <c r="K11" s="13"/>
      <c r="L11" s="13"/>
      <c r="M11" s="13"/>
      <c r="N11" s="13"/>
      <c r="O11" s="13"/>
      <c r="P11" s="8" t="s">
        <v>114</v>
      </c>
    </row>
    <row r="12" ht="13.5" customHeight="1">
      <c r="A12" s="8">
        <v>6.0</v>
      </c>
      <c r="B12" s="8" t="s">
        <v>279</v>
      </c>
      <c r="C12" s="15" t="s">
        <v>280</v>
      </c>
      <c r="D12" s="15" t="s">
        <v>281</v>
      </c>
      <c r="E12" s="15" t="s">
        <v>282</v>
      </c>
      <c r="F12" s="15" t="s">
        <v>283</v>
      </c>
      <c r="G12" s="8"/>
      <c r="H12" s="15" t="s">
        <v>284</v>
      </c>
      <c r="I12" s="8"/>
      <c r="J12" s="15" t="s">
        <v>285</v>
      </c>
      <c r="K12" s="19" t="s">
        <v>261</v>
      </c>
      <c r="L12" s="13"/>
      <c r="M12" s="13"/>
      <c r="N12" s="13"/>
      <c r="O12" s="13"/>
      <c r="P12" s="8" t="s">
        <v>114</v>
      </c>
    </row>
    <row r="13" ht="13.5" customHeight="1">
      <c r="A13" s="8">
        <v>7.0</v>
      </c>
      <c r="B13" s="8" t="s">
        <v>286</v>
      </c>
      <c r="C13" s="15" t="s">
        <v>287</v>
      </c>
      <c r="D13" s="15" t="s">
        <v>288</v>
      </c>
      <c r="E13" s="15" t="s">
        <v>289</v>
      </c>
      <c r="F13" s="15" t="s">
        <v>290</v>
      </c>
      <c r="G13" s="15" t="s">
        <v>291</v>
      </c>
      <c r="H13" s="15" t="s">
        <v>68</v>
      </c>
      <c r="I13" s="15" t="s">
        <v>292</v>
      </c>
      <c r="J13" s="8"/>
      <c r="K13" s="19" t="s">
        <v>261</v>
      </c>
      <c r="L13" s="19" t="s">
        <v>293</v>
      </c>
      <c r="M13" s="13"/>
      <c r="N13" s="13"/>
      <c r="O13" s="13"/>
      <c r="P13" s="8" t="s">
        <v>114</v>
      </c>
    </row>
    <row r="14" ht="13.5" customHeight="1">
      <c r="A14" s="24">
        <v>8.0</v>
      </c>
      <c r="B14" s="24" t="s">
        <v>294</v>
      </c>
      <c r="C14" s="25" t="s">
        <v>295</v>
      </c>
      <c r="D14" s="25" t="s">
        <v>296</v>
      </c>
      <c r="E14" s="25" t="s">
        <v>297</v>
      </c>
      <c r="F14" s="25"/>
      <c r="G14" s="24"/>
      <c r="H14" s="26" t="s">
        <v>298</v>
      </c>
      <c r="I14" s="15" t="s">
        <v>299</v>
      </c>
      <c r="J14" s="8"/>
      <c r="K14" s="27" t="s">
        <v>300</v>
      </c>
      <c r="L14" s="27" t="s">
        <v>301</v>
      </c>
      <c r="M14" s="13"/>
      <c r="N14" s="13"/>
      <c r="O14" s="13"/>
      <c r="P14" s="8" t="s">
        <v>114</v>
      </c>
    </row>
    <row r="15" ht="13.5" customHeight="1">
      <c r="A15" s="8">
        <v>9.0</v>
      </c>
      <c r="B15" s="8" t="s">
        <v>302</v>
      </c>
      <c r="C15" s="8"/>
      <c r="D15" s="8"/>
      <c r="E15" s="8"/>
      <c r="F15" s="8"/>
      <c r="G15" s="8"/>
      <c r="H15" s="8"/>
      <c r="I15" s="8"/>
      <c r="J15" s="8"/>
      <c r="K15" s="13"/>
      <c r="L15" s="13"/>
      <c r="M15" s="13"/>
      <c r="N15" s="13"/>
      <c r="O15" s="13"/>
      <c r="P15" s="8" t="s">
        <v>114</v>
      </c>
    </row>
    <row r="16" ht="13.5" customHeight="1">
      <c r="A16" s="8">
        <v>10.0</v>
      </c>
      <c r="B16" s="8" t="s">
        <v>303</v>
      </c>
      <c r="C16" s="15" t="s">
        <v>304</v>
      </c>
      <c r="D16" s="15" t="s">
        <v>305</v>
      </c>
      <c r="E16" s="15" t="s">
        <v>306</v>
      </c>
      <c r="F16" s="15" t="s">
        <v>307</v>
      </c>
      <c r="G16" s="8"/>
      <c r="H16" s="15" t="s">
        <v>36</v>
      </c>
      <c r="I16" s="8"/>
      <c r="J16" s="8"/>
      <c r="K16" s="28" t="str">
        <f>HYPERLINK("https://docs.google.com/document/d/1Z4Pw5zysdRVchzlRjKk3sMAT6OLt0DOMSTpdunoVxzs/edit?usp=sharing","Requirement")</f>
        <v>Requirement</v>
      </c>
      <c r="L16" s="29" t="str">
        <f>HYPERLINK("https://stitch.google.com/projects/15547256557882588841","demo")</f>
        <v>demo</v>
      </c>
      <c r="M16" s="13"/>
      <c r="N16" s="13"/>
      <c r="O16" s="13"/>
      <c r="P16" s="8" t="s">
        <v>114</v>
      </c>
    </row>
    <row r="17" ht="13.5" customHeight="1">
      <c r="A17" s="8">
        <v>11.0</v>
      </c>
      <c r="B17" s="8" t="s">
        <v>308</v>
      </c>
      <c r="C17" s="15"/>
      <c r="D17" s="8"/>
      <c r="E17" s="8"/>
      <c r="F17" s="8"/>
      <c r="G17" s="8"/>
      <c r="H17" s="8"/>
      <c r="I17" s="8"/>
      <c r="J17" s="8"/>
      <c r="K17" s="13"/>
      <c r="L17" s="13"/>
      <c r="M17" s="13"/>
      <c r="N17" s="13"/>
      <c r="O17" s="13"/>
      <c r="P17" s="8" t="s">
        <v>114</v>
      </c>
    </row>
    <row r="18" ht="13.5" customHeight="1">
      <c r="A18" s="8">
        <v>12.0</v>
      </c>
      <c r="B18" s="8" t="s">
        <v>309</v>
      </c>
      <c r="C18" s="15" t="s">
        <v>310</v>
      </c>
      <c r="D18" s="15" t="s">
        <v>311</v>
      </c>
      <c r="E18" s="15" t="s">
        <v>312</v>
      </c>
      <c r="F18" s="8"/>
      <c r="G18" s="8"/>
      <c r="H18" s="15" t="s">
        <v>313</v>
      </c>
      <c r="I18" s="8"/>
      <c r="J18" s="8"/>
      <c r="K18" s="29" t="s">
        <v>261</v>
      </c>
      <c r="L18" s="29" t="s">
        <v>314</v>
      </c>
      <c r="M18" s="30"/>
      <c r="N18" s="13"/>
      <c r="O18" s="13"/>
      <c r="P18" s="8" t="s">
        <v>114</v>
      </c>
    </row>
    <row r="19" ht="13.5" customHeight="1">
      <c r="A19" s="8">
        <v>13.0</v>
      </c>
      <c r="B19" s="8" t="s">
        <v>315</v>
      </c>
      <c r="C19" s="15" t="s">
        <v>316</v>
      </c>
      <c r="D19" s="15" t="s">
        <v>317</v>
      </c>
      <c r="E19" s="15" t="s">
        <v>318</v>
      </c>
      <c r="F19" s="15" t="s">
        <v>319</v>
      </c>
      <c r="G19" s="8"/>
      <c r="H19" s="31" t="s">
        <v>86</v>
      </c>
      <c r="I19" s="32"/>
      <c r="J19" s="32"/>
      <c r="K19" s="33" t="s">
        <v>320</v>
      </c>
      <c r="L19" s="34" t="s">
        <v>254</v>
      </c>
      <c r="M19" s="35"/>
      <c r="N19" s="13"/>
      <c r="O19" s="13"/>
      <c r="P19" s="8" t="s">
        <v>114</v>
      </c>
    </row>
    <row r="20" ht="13.5" customHeight="1">
      <c r="A20" s="8">
        <v>14.0</v>
      </c>
      <c r="B20" s="8" t="s">
        <v>321</v>
      </c>
      <c r="H20" s="36"/>
      <c r="L20" s="37" t="s">
        <v>322</v>
      </c>
      <c r="M20" s="13"/>
      <c r="N20" s="13"/>
      <c r="O20" s="13"/>
      <c r="P20" s="8" t="s">
        <v>114</v>
      </c>
    </row>
    <row r="21" ht="13.5" customHeight="1">
      <c r="A21" s="8">
        <v>15.0</v>
      </c>
      <c r="B21" s="8" t="s">
        <v>323</v>
      </c>
      <c r="H21" s="38"/>
      <c r="I21" s="39"/>
      <c r="J21" s="39"/>
      <c r="K21" s="40"/>
      <c r="L21" s="41"/>
      <c r="M21" s="13"/>
      <c r="N21" s="13"/>
      <c r="O21" s="13"/>
      <c r="P21" s="8" t="s">
        <v>114</v>
      </c>
    </row>
    <row r="22" ht="13.5" customHeight="1">
      <c r="A22" s="8">
        <v>16.0</v>
      </c>
      <c r="B22" s="8" t="s">
        <v>324</v>
      </c>
      <c r="I22" s="8"/>
      <c r="J22" s="8"/>
      <c r="K22" s="13"/>
      <c r="L22" s="13"/>
      <c r="M22" s="13"/>
      <c r="N22" s="13"/>
      <c r="O22" s="13"/>
      <c r="P22" s="8" t="s">
        <v>114</v>
      </c>
    </row>
    <row r="23" ht="13.5" customHeight="1">
      <c r="A23" s="8">
        <v>17.0</v>
      </c>
      <c r="B23" s="8" t="s">
        <v>325</v>
      </c>
      <c r="C23" s="8"/>
      <c r="D23" s="8"/>
      <c r="E23" s="8"/>
      <c r="F23" s="8"/>
      <c r="G23" s="8"/>
      <c r="H23" s="8"/>
      <c r="I23" s="8"/>
      <c r="J23" s="8"/>
      <c r="K23" s="13"/>
      <c r="L23" s="13"/>
      <c r="M23" s="13"/>
      <c r="N23" s="13"/>
      <c r="O23" s="13"/>
      <c r="P23" s="8" t="s">
        <v>114</v>
      </c>
    </row>
    <row r="24" ht="13.5" customHeight="1">
      <c r="A24" s="8">
        <v>18.0</v>
      </c>
      <c r="B24" s="8" t="s">
        <v>326</v>
      </c>
      <c r="C24" s="8"/>
      <c r="D24" s="8"/>
      <c r="E24" s="8"/>
      <c r="F24" s="8"/>
      <c r="G24" s="8"/>
      <c r="H24" s="8"/>
      <c r="I24" s="8"/>
      <c r="J24" s="8"/>
      <c r="K24" s="13"/>
      <c r="L24" s="42"/>
      <c r="M24" s="13"/>
      <c r="N24" s="13"/>
      <c r="O24" s="13"/>
      <c r="P24" s="8" t="s">
        <v>114</v>
      </c>
    </row>
    <row r="25" ht="13.5" customHeight="1">
      <c r="A25" s="8">
        <v>19.0</v>
      </c>
      <c r="B25" s="8" t="s">
        <v>327</v>
      </c>
      <c r="C25" s="8"/>
      <c r="D25" s="8"/>
      <c r="E25" s="8"/>
      <c r="F25" s="8"/>
      <c r="G25" s="8"/>
      <c r="H25" s="8"/>
      <c r="I25" s="8"/>
      <c r="J25" s="8"/>
      <c r="K25" s="13"/>
      <c r="L25" s="13"/>
      <c r="M25" s="13"/>
      <c r="N25" s="13"/>
      <c r="O25" s="13"/>
      <c r="P25" s="8" t="s">
        <v>114</v>
      </c>
    </row>
    <row r="26" ht="13.5" customHeight="1">
      <c r="A26" s="8">
        <v>20.0</v>
      </c>
      <c r="B26" s="8" t="s">
        <v>328</v>
      </c>
      <c r="C26" s="8"/>
      <c r="D26" s="8"/>
      <c r="E26" s="8"/>
      <c r="F26" s="8"/>
      <c r="G26" s="8"/>
      <c r="H26" s="8"/>
      <c r="I26" s="8"/>
      <c r="J26" s="8"/>
      <c r="K26" s="13"/>
      <c r="L26" s="13"/>
      <c r="M26" s="13"/>
      <c r="N26" s="13"/>
      <c r="O26" s="13"/>
      <c r="P26" s="8" t="s">
        <v>114</v>
      </c>
    </row>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6">
    <mergeCell ref="A1:P1"/>
    <mergeCell ref="A2:P2"/>
    <mergeCell ref="H19:H20"/>
    <mergeCell ref="I19:I20"/>
    <mergeCell ref="J19:J20"/>
    <mergeCell ref="K19:K20"/>
  </mergeCells>
  <conditionalFormatting sqref="P7:P26">
    <cfRule type="expression" dxfId="0" priority="1">
      <formula>P7="Đã duyệt"</formula>
    </cfRule>
  </conditionalFormatting>
  <conditionalFormatting sqref="P7:P26">
    <cfRule type="expression" dxfId="2" priority="2">
      <formula>P7="Cần chỉnh sửa"</formula>
    </cfRule>
  </conditionalFormatting>
  <conditionalFormatting sqref="P7:P26">
    <cfRule type="expression" dxfId="3" priority="3">
      <formula>P7="Hoàn thành"</formula>
    </cfRule>
  </conditionalFormatting>
  <hyperlinks>
    <hyperlink r:id="rId1" ref="K7"/>
    <hyperlink r:id="rId2" ref="L7"/>
    <hyperlink r:id="rId3" ref="K8"/>
    <hyperlink r:id="rId4" ref="L8"/>
    <hyperlink r:id="rId5" ref="K9"/>
    <hyperlink r:id="rId6" ref="L9"/>
    <hyperlink r:id="rId7" ref="K10"/>
    <hyperlink r:id="rId8" ref="K12"/>
    <hyperlink r:id="rId9" ref="K13"/>
    <hyperlink r:id="rId10" ref="L13"/>
    <hyperlink r:id="rId11" ref="K14"/>
    <hyperlink r:id="rId12" ref="L14"/>
    <hyperlink r:id="rId13" ref="K18"/>
    <hyperlink r:id="rId14" ref="L18"/>
    <hyperlink r:id="rId15" ref="K19"/>
    <hyperlink r:id="rId16" ref="L19"/>
    <hyperlink r:id="rId17" ref="L20"/>
  </hyperlinks>
  <printOptions/>
  <pageMargins bottom="0.75" footer="0.0" header="0.0" left="0.7" right="0.7" top="0.75"/>
  <pageSetup orientation="landscape"/>
  <drawing r:id="rId18"/>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0"/>
    <col customWidth="1" min="2" max="2" width="27.0"/>
    <col customWidth="1" min="3" max="3" width="42.0"/>
    <col customWidth="1" min="4" max="4" width="24.0"/>
    <col customWidth="1" min="5" max="5" width="45.0"/>
    <col customWidth="1" min="6" max="7" width="28.0"/>
    <col customWidth="1" min="8" max="8" width="16.0"/>
    <col customWidth="1" min="9" max="9" width="35.0"/>
    <col customWidth="1" min="10" max="10" width="32.0"/>
    <col customWidth="1" min="11" max="26" width="8.88"/>
  </cols>
  <sheetData>
    <row r="1" ht="36.75" customHeight="1">
      <c r="A1" s="1" t="s">
        <v>2</v>
      </c>
    </row>
    <row r="2" ht="45.0" customHeight="1">
      <c r="A2" s="3" t="s">
        <v>6</v>
      </c>
    </row>
    <row r="3" ht="13.5" customHeight="1"/>
    <row r="4" ht="45.0" customHeight="1">
      <c r="A4" s="5" t="s">
        <v>12</v>
      </c>
      <c r="B4" s="5" t="s">
        <v>14</v>
      </c>
      <c r="C4" s="5" t="s">
        <v>16</v>
      </c>
      <c r="D4" s="5" t="s">
        <v>18</v>
      </c>
      <c r="E4" s="5" t="s">
        <v>20</v>
      </c>
      <c r="F4" s="5" t="s">
        <v>21</v>
      </c>
      <c r="G4" s="5" t="s">
        <v>22</v>
      </c>
      <c r="H4" s="5" t="s">
        <v>23</v>
      </c>
      <c r="I4" s="5" t="s">
        <v>24</v>
      </c>
      <c r="J4" s="5" t="s">
        <v>25</v>
      </c>
    </row>
    <row r="5" ht="13.5" customHeight="1">
      <c r="A5" s="8">
        <v>1.0</v>
      </c>
      <c r="B5" s="8" t="s">
        <v>36</v>
      </c>
      <c r="C5" s="8" t="s">
        <v>37</v>
      </c>
      <c r="D5" s="8" t="s">
        <v>38</v>
      </c>
      <c r="E5" s="8" t="s">
        <v>40</v>
      </c>
      <c r="F5" s="8" t="s">
        <v>42</v>
      </c>
      <c r="G5" s="8" t="s">
        <v>45</v>
      </c>
      <c r="H5" s="8" t="s">
        <v>47</v>
      </c>
      <c r="I5" s="8" t="s">
        <v>49</v>
      </c>
      <c r="J5" s="8" t="s">
        <v>50</v>
      </c>
    </row>
    <row r="6" ht="13.5" customHeight="1">
      <c r="A6" s="8">
        <v>2.0</v>
      </c>
      <c r="B6" s="8" t="s">
        <v>51</v>
      </c>
      <c r="C6" s="8" t="s">
        <v>52</v>
      </c>
      <c r="D6" s="8" t="s">
        <v>53</v>
      </c>
      <c r="E6" s="8" t="s">
        <v>54</v>
      </c>
      <c r="F6" s="8" t="s">
        <v>55</v>
      </c>
      <c r="G6" s="8" t="s">
        <v>56</v>
      </c>
      <c r="H6" s="8" t="s">
        <v>47</v>
      </c>
      <c r="I6" s="8" t="s">
        <v>57</v>
      </c>
      <c r="J6" s="8" t="s">
        <v>58</v>
      </c>
    </row>
    <row r="7" ht="13.5" customHeight="1">
      <c r="A7" s="8">
        <v>3.0</v>
      </c>
      <c r="B7" s="8" t="s">
        <v>59</v>
      </c>
      <c r="C7" s="8" t="s">
        <v>60</v>
      </c>
      <c r="D7" s="8" t="s">
        <v>61</v>
      </c>
      <c r="E7" s="8" t="s">
        <v>63</v>
      </c>
      <c r="F7" s="8" t="s">
        <v>64</v>
      </c>
      <c r="G7" s="8" t="s">
        <v>65</v>
      </c>
      <c r="H7" s="8" t="s">
        <v>47</v>
      </c>
      <c r="I7" s="8" t="s">
        <v>67</v>
      </c>
      <c r="J7" s="8" t="s">
        <v>58</v>
      </c>
    </row>
    <row r="8" ht="13.5" customHeight="1">
      <c r="A8" s="8">
        <v>4.0</v>
      </c>
      <c r="B8" s="8" t="s">
        <v>68</v>
      </c>
      <c r="C8" s="8" t="s">
        <v>69</v>
      </c>
      <c r="D8" s="8" t="s">
        <v>70</v>
      </c>
      <c r="E8" s="8" t="s">
        <v>71</v>
      </c>
      <c r="F8" s="8" t="s">
        <v>73</v>
      </c>
      <c r="G8" s="8" t="s">
        <v>74</v>
      </c>
      <c r="H8" s="8" t="s">
        <v>75</v>
      </c>
      <c r="I8" s="8" t="s">
        <v>76</v>
      </c>
      <c r="J8" s="8" t="s">
        <v>58</v>
      </c>
    </row>
    <row r="9" ht="13.5" customHeight="1">
      <c r="A9" s="8">
        <v>6.0</v>
      </c>
      <c r="B9" s="8" t="s">
        <v>77</v>
      </c>
      <c r="C9" s="8" t="s">
        <v>79</v>
      </c>
      <c r="D9" s="8" t="s">
        <v>80</v>
      </c>
      <c r="E9" s="8" t="s">
        <v>81</v>
      </c>
      <c r="F9" s="8" t="s">
        <v>82</v>
      </c>
      <c r="G9" s="8" t="s">
        <v>83</v>
      </c>
      <c r="H9" s="8" t="s">
        <v>84</v>
      </c>
      <c r="I9" s="8" t="s">
        <v>85</v>
      </c>
      <c r="J9" s="8" t="s">
        <v>58</v>
      </c>
    </row>
    <row r="10" ht="13.5" customHeight="1">
      <c r="A10" s="8">
        <v>7.0</v>
      </c>
      <c r="B10" s="8" t="s">
        <v>86</v>
      </c>
      <c r="C10" s="8" t="s">
        <v>88</v>
      </c>
      <c r="D10" s="8" t="s">
        <v>90</v>
      </c>
      <c r="E10" s="8" t="s">
        <v>92</v>
      </c>
      <c r="F10" s="8" t="s">
        <v>93</v>
      </c>
      <c r="G10" s="8" t="s">
        <v>95</v>
      </c>
      <c r="H10" s="8" t="s">
        <v>75</v>
      </c>
      <c r="I10" s="8" t="s">
        <v>99</v>
      </c>
      <c r="J10" s="8" t="s">
        <v>58</v>
      </c>
    </row>
    <row r="11" ht="13.5" customHeight="1">
      <c r="A11" s="8">
        <v>8.0</v>
      </c>
      <c r="B11" s="8" t="s">
        <v>101</v>
      </c>
      <c r="C11" s="8" t="s">
        <v>103</v>
      </c>
      <c r="D11" s="8" t="s">
        <v>104</v>
      </c>
      <c r="E11" s="8" t="s">
        <v>106</v>
      </c>
      <c r="F11" s="8" t="s">
        <v>107</v>
      </c>
      <c r="G11" s="8" t="s">
        <v>111</v>
      </c>
      <c r="H11" s="8" t="s">
        <v>113</v>
      </c>
      <c r="I11" s="8" t="s">
        <v>115</v>
      </c>
      <c r="J11" s="8" t="s">
        <v>58</v>
      </c>
    </row>
    <row r="12" ht="13.5" customHeight="1">
      <c r="A12" s="8">
        <v>9.0</v>
      </c>
      <c r="B12" s="8" t="s">
        <v>120</v>
      </c>
      <c r="C12" s="8" t="s">
        <v>123</v>
      </c>
      <c r="D12" s="8" t="s">
        <v>61</v>
      </c>
      <c r="E12" s="8" t="s">
        <v>126</v>
      </c>
      <c r="F12" s="8" t="s">
        <v>127</v>
      </c>
      <c r="G12" s="8" t="s">
        <v>56</v>
      </c>
      <c r="H12" s="8" t="s">
        <v>84</v>
      </c>
      <c r="I12" s="8" t="s">
        <v>129</v>
      </c>
      <c r="J12" s="8" t="s">
        <v>58</v>
      </c>
    </row>
    <row r="13" ht="13.5" customHeight="1">
      <c r="A13" s="8">
        <v>10.0</v>
      </c>
      <c r="B13" s="8" t="s">
        <v>133</v>
      </c>
      <c r="C13" s="8" t="s">
        <v>136</v>
      </c>
      <c r="D13" s="8" t="s">
        <v>137</v>
      </c>
      <c r="E13" s="8" t="s">
        <v>140</v>
      </c>
      <c r="F13" s="8" t="s">
        <v>141</v>
      </c>
      <c r="G13" s="8" t="s">
        <v>143</v>
      </c>
      <c r="H13" s="8" t="s">
        <v>113</v>
      </c>
      <c r="I13" s="8" t="s">
        <v>152</v>
      </c>
      <c r="J13" s="8" t="s">
        <v>58</v>
      </c>
    </row>
    <row r="14" ht="13.5" customHeight="1">
      <c r="A14" s="8">
        <v>5.0</v>
      </c>
      <c r="B14" s="8" t="s">
        <v>156</v>
      </c>
      <c r="C14" s="8" t="s">
        <v>158</v>
      </c>
      <c r="D14" s="8" t="s">
        <v>160</v>
      </c>
      <c r="E14" s="8" t="s">
        <v>165</v>
      </c>
      <c r="F14" s="8" t="s">
        <v>167</v>
      </c>
      <c r="G14" s="8" t="s">
        <v>56</v>
      </c>
      <c r="H14" s="8" t="s">
        <v>47</v>
      </c>
      <c r="I14" s="8" t="s">
        <v>169</v>
      </c>
      <c r="J14" s="8" t="s">
        <v>58</v>
      </c>
    </row>
    <row r="15" ht="13.5" customHeight="1">
      <c r="A15" s="17">
        <v>11.0</v>
      </c>
      <c r="B15" s="17" t="s">
        <v>178</v>
      </c>
      <c r="C15" s="17" t="s">
        <v>179</v>
      </c>
      <c r="D15" s="17" t="s">
        <v>183</v>
      </c>
      <c r="E15" s="17" t="s">
        <v>186</v>
      </c>
      <c r="F15" s="17" t="s">
        <v>188</v>
      </c>
      <c r="G15" s="17" t="s">
        <v>190</v>
      </c>
      <c r="H15" s="17" t="s">
        <v>84</v>
      </c>
      <c r="I15" s="17" t="s">
        <v>192</v>
      </c>
      <c r="J15" s="17" t="s">
        <v>58</v>
      </c>
    </row>
    <row r="16" ht="13.5" customHeight="1">
      <c r="A16" s="17">
        <v>12.0</v>
      </c>
      <c r="B16" s="17" t="s">
        <v>199</v>
      </c>
      <c r="C16" s="17" t="s">
        <v>201</v>
      </c>
      <c r="D16" s="17" t="s">
        <v>202</v>
      </c>
      <c r="E16" s="17" t="s">
        <v>203</v>
      </c>
      <c r="F16" s="17" t="s">
        <v>204</v>
      </c>
      <c r="G16" s="17" t="s">
        <v>111</v>
      </c>
      <c r="H16" s="17" t="s">
        <v>113</v>
      </c>
      <c r="I16" s="17" t="s">
        <v>210</v>
      </c>
      <c r="J16" s="17" t="s">
        <v>58</v>
      </c>
    </row>
    <row r="17" ht="13.5" customHeight="1">
      <c r="A17" s="17">
        <v>13.0</v>
      </c>
      <c r="B17" s="17" t="s">
        <v>214</v>
      </c>
      <c r="C17" s="17" t="s">
        <v>215</v>
      </c>
      <c r="D17" s="17" t="s">
        <v>217</v>
      </c>
      <c r="E17" s="17" t="s">
        <v>219</v>
      </c>
      <c r="F17" s="17" t="s">
        <v>221</v>
      </c>
      <c r="G17" s="17" t="s">
        <v>111</v>
      </c>
      <c r="H17" s="17" t="s">
        <v>84</v>
      </c>
      <c r="I17" s="17" t="s">
        <v>225</v>
      </c>
      <c r="J17" s="17" t="s">
        <v>58</v>
      </c>
    </row>
    <row r="18" ht="13.5" customHeight="1">
      <c r="A18" s="17">
        <v>14.0</v>
      </c>
      <c r="B18" s="17" t="s">
        <v>228</v>
      </c>
      <c r="C18" s="17" t="s">
        <v>229</v>
      </c>
      <c r="D18" s="17" t="s">
        <v>61</v>
      </c>
      <c r="E18" s="17" t="s">
        <v>230</v>
      </c>
      <c r="F18" s="17" t="s">
        <v>231</v>
      </c>
      <c r="G18" s="17" t="s">
        <v>232</v>
      </c>
      <c r="H18" s="17" t="s">
        <v>84</v>
      </c>
      <c r="I18" s="17" t="s">
        <v>235</v>
      </c>
      <c r="J18" s="17" t="s">
        <v>58</v>
      </c>
    </row>
    <row r="19" ht="13.5" customHeight="1">
      <c r="A19" s="17">
        <v>15.0</v>
      </c>
      <c r="B19" s="17" t="s">
        <v>241</v>
      </c>
      <c r="C19" s="17" t="s">
        <v>244</v>
      </c>
      <c r="D19" s="17" t="s">
        <v>245</v>
      </c>
      <c r="E19" s="17" t="s">
        <v>247</v>
      </c>
      <c r="F19" s="17" t="s">
        <v>248</v>
      </c>
      <c r="G19" s="17" t="s">
        <v>249</v>
      </c>
      <c r="H19" s="17" t="s">
        <v>113</v>
      </c>
      <c r="I19" s="17" t="s">
        <v>250</v>
      </c>
      <c r="J19" s="17" t="s">
        <v>58</v>
      </c>
    </row>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2">
    <mergeCell ref="A1:J1"/>
    <mergeCell ref="A2:J2"/>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0"/>
    <col customWidth="1" min="2" max="2" width="15.0"/>
    <col customWidth="1" min="3" max="3" width="17.0"/>
    <col customWidth="1" min="4" max="4" width="28.0"/>
    <col customWidth="1" min="5" max="5" width="48.0"/>
    <col customWidth="1" min="6" max="6" width="14.0"/>
    <col customWidth="1" min="7" max="7" width="24.0"/>
    <col customWidth="1" min="8" max="8" width="28.0"/>
    <col customWidth="1" min="9" max="9" width="16.0"/>
    <col customWidth="1" min="10" max="26" width="8.88"/>
  </cols>
  <sheetData>
    <row r="1" ht="13.5" customHeight="1">
      <c r="A1" s="1" t="s">
        <v>1</v>
      </c>
    </row>
    <row r="2" ht="45.0" customHeight="1">
      <c r="A2" s="3" t="s">
        <v>3</v>
      </c>
    </row>
    <row r="3" ht="13.5" customHeight="1"/>
    <row r="4" ht="45.0" customHeight="1">
      <c r="A4" s="5" t="s">
        <v>4</v>
      </c>
      <c r="B4" s="5" t="s">
        <v>7</v>
      </c>
      <c r="C4" s="5" t="s">
        <v>8</v>
      </c>
      <c r="D4" s="5" t="s">
        <v>9</v>
      </c>
      <c r="E4" s="5" t="s">
        <v>11</v>
      </c>
      <c r="F4" s="5" t="s">
        <v>13</v>
      </c>
      <c r="G4" s="5" t="s">
        <v>15</v>
      </c>
      <c r="H4" s="5" t="s">
        <v>17</v>
      </c>
      <c r="I4" s="5" t="s">
        <v>19</v>
      </c>
    </row>
    <row r="5" ht="13.5" customHeight="1">
      <c r="A5" s="8">
        <v>1.0</v>
      </c>
      <c r="B5" s="10">
        <v>46272.0</v>
      </c>
      <c r="C5" s="10"/>
      <c r="D5" s="8" t="s">
        <v>62</v>
      </c>
      <c r="E5" s="8" t="s">
        <v>66</v>
      </c>
      <c r="F5" s="12"/>
      <c r="G5" s="8"/>
      <c r="H5" s="13"/>
      <c r="I5" s="8" t="s">
        <v>114</v>
      </c>
    </row>
    <row r="6" ht="13.5" customHeight="1">
      <c r="A6" s="8">
        <v>2.0</v>
      </c>
      <c r="B6" s="10">
        <v>46279.0</v>
      </c>
      <c r="C6" s="10"/>
      <c r="D6" s="8" t="s">
        <v>125</v>
      </c>
      <c r="E6" s="8" t="s">
        <v>128</v>
      </c>
      <c r="F6" s="16">
        <v>2.0</v>
      </c>
      <c r="G6" s="8"/>
      <c r="H6" s="13"/>
      <c r="I6" s="8" t="s">
        <v>114</v>
      </c>
    </row>
    <row r="7" ht="13.5" customHeight="1">
      <c r="A7" s="8">
        <v>3.0</v>
      </c>
      <c r="B7" s="10">
        <v>46286.0</v>
      </c>
      <c r="C7" s="10"/>
      <c r="D7" s="8" t="s">
        <v>159</v>
      </c>
      <c r="E7" s="8" t="s">
        <v>162</v>
      </c>
      <c r="F7" s="16">
        <v>13.0</v>
      </c>
      <c r="G7" s="8"/>
      <c r="H7" s="13"/>
      <c r="I7" s="8" t="s">
        <v>114</v>
      </c>
    </row>
    <row r="8" ht="13.5" customHeight="1">
      <c r="A8" s="8">
        <v>4.0</v>
      </c>
      <c r="B8" s="10">
        <v>46293.0</v>
      </c>
      <c r="C8" s="10"/>
      <c r="D8" s="8" t="s">
        <v>171</v>
      </c>
      <c r="E8" s="8" t="s">
        <v>174</v>
      </c>
      <c r="F8" s="16">
        <v>3.0</v>
      </c>
      <c r="G8" s="8"/>
      <c r="H8" s="13"/>
      <c r="I8" s="8" t="s">
        <v>114</v>
      </c>
    </row>
    <row r="9" ht="13.5" customHeight="1">
      <c r="A9" s="8">
        <v>5.0</v>
      </c>
      <c r="B9" s="10">
        <v>46300.0</v>
      </c>
      <c r="C9" s="10"/>
      <c r="D9" s="8" t="s">
        <v>181</v>
      </c>
      <c r="E9" s="8" t="s">
        <v>185</v>
      </c>
      <c r="F9" s="16">
        <v>10.0</v>
      </c>
      <c r="G9" s="8"/>
      <c r="H9" s="13"/>
      <c r="I9" s="8" t="s">
        <v>114</v>
      </c>
    </row>
    <row r="10" ht="13.5" customHeight="1">
      <c r="A10" s="8">
        <v>6.0</v>
      </c>
      <c r="B10" s="10">
        <v>46307.0</v>
      </c>
      <c r="C10" s="10"/>
      <c r="D10" s="8" t="s">
        <v>194</v>
      </c>
      <c r="E10" s="8" t="s">
        <v>197</v>
      </c>
      <c r="F10" s="16">
        <v>1.0</v>
      </c>
      <c r="G10" s="8"/>
      <c r="H10" s="13"/>
      <c r="I10" s="8" t="s">
        <v>114</v>
      </c>
    </row>
    <row r="11" ht="13.5" customHeight="1">
      <c r="A11" s="8">
        <v>7.0</v>
      </c>
      <c r="B11" s="10">
        <v>46314.0</v>
      </c>
      <c r="C11" s="10"/>
      <c r="D11" s="8" t="s">
        <v>206</v>
      </c>
      <c r="E11" s="8" t="s">
        <v>208</v>
      </c>
      <c r="F11" s="16" t="s">
        <v>211</v>
      </c>
      <c r="G11" s="8"/>
      <c r="H11" s="13"/>
      <c r="I11" s="15" t="s">
        <v>216</v>
      </c>
    </row>
    <row r="12" ht="13.5" customHeight="1">
      <c r="A12" s="8">
        <v>8.0</v>
      </c>
      <c r="B12" s="10">
        <v>46321.0</v>
      </c>
      <c r="C12" s="10"/>
      <c r="D12" s="8" t="s">
        <v>226</v>
      </c>
      <c r="E12" s="8" t="s">
        <v>227</v>
      </c>
      <c r="F12" s="16">
        <v>4.0</v>
      </c>
      <c r="G12" s="8"/>
      <c r="H12" s="13"/>
      <c r="I12" s="8" t="s">
        <v>114</v>
      </c>
    </row>
    <row r="13" ht="13.5" customHeight="1">
      <c r="A13" s="8">
        <v>9.0</v>
      </c>
      <c r="B13" s="10">
        <v>46328.0</v>
      </c>
      <c r="C13" s="10"/>
      <c r="D13" s="8" t="s">
        <v>233</v>
      </c>
      <c r="E13" s="8" t="s">
        <v>234</v>
      </c>
      <c r="F13" s="16">
        <v>6.0</v>
      </c>
      <c r="G13" s="8"/>
      <c r="H13" s="13"/>
      <c r="I13" s="8" t="s">
        <v>114</v>
      </c>
    </row>
    <row r="14" ht="13.5" customHeight="1">
      <c r="A14" s="8">
        <v>10.0</v>
      </c>
      <c r="B14" s="10">
        <v>46335.0</v>
      </c>
      <c r="C14" s="10"/>
      <c r="D14" s="8" t="s">
        <v>239</v>
      </c>
      <c r="E14" s="8" t="s">
        <v>242</v>
      </c>
      <c r="F14" s="16">
        <v>12.0</v>
      </c>
      <c r="G14" s="8"/>
      <c r="H14" s="13"/>
      <c r="I14" s="8" t="s">
        <v>114</v>
      </c>
    </row>
    <row r="15" ht="13.5" customHeight="1">
      <c r="A15" s="8">
        <v>11.0</v>
      </c>
      <c r="B15" s="10">
        <v>46342.0</v>
      </c>
      <c r="C15" s="10"/>
      <c r="D15" s="8" t="s">
        <v>251</v>
      </c>
      <c r="E15" s="8" t="s">
        <v>252</v>
      </c>
      <c r="F15" s="16" t="s">
        <v>253</v>
      </c>
      <c r="G15" s="8"/>
      <c r="H15" s="13"/>
      <c r="I15" s="8" t="s">
        <v>114</v>
      </c>
    </row>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2">
    <mergeCell ref="A1:I1"/>
    <mergeCell ref="A2:I2"/>
  </mergeCells>
  <conditionalFormatting sqref="I5:I15">
    <cfRule type="expression" dxfId="0" priority="1">
      <formula>I5="Đã thuyết trình"</formula>
    </cfRule>
  </conditionalFormatting>
  <dataValidations>
    <dataValidation type="list" allowBlank="1" sqref="I5:I15">
      <formula1>"Chưa đăng ký,Đã đăng ký,Đã thuyết trình,Đổi lịch"</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0"/>
    <col customWidth="1" min="2" max="2" width="10.0"/>
    <col customWidth="1" min="3" max="3" width="22.0"/>
    <col customWidth="1" min="4" max="4" width="27.0"/>
    <col customWidth="1" min="5" max="5" width="38.0"/>
    <col customWidth="1" min="6" max="6" width="42.0"/>
    <col customWidth="1" min="7" max="7" width="14.0"/>
    <col customWidth="1" min="8" max="8" width="16.0"/>
    <col customWidth="1" min="9" max="9" width="15.0"/>
    <col customWidth="1" min="10" max="10" width="16.0"/>
    <col customWidth="1" min="11" max="26" width="8.88"/>
  </cols>
  <sheetData>
    <row r="1" ht="13.5" customHeight="1">
      <c r="A1" s="7" t="s">
        <v>10</v>
      </c>
    </row>
    <row r="2" ht="45.0" customHeight="1">
      <c r="A2" s="3" t="s">
        <v>26</v>
      </c>
    </row>
    <row r="3" ht="13.5" customHeight="1"/>
    <row r="4" ht="45.0" customHeight="1">
      <c r="A4" s="5" t="s">
        <v>12</v>
      </c>
      <c r="B4" s="5" t="s">
        <v>27</v>
      </c>
      <c r="C4" s="5" t="s">
        <v>28</v>
      </c>
      <c r="D4" s="5" t="s">
        <v>29</v>
      </c>
      <c r="E4" s="5" t="s">
        <v>30</v>
      </c>
      <c r="F4" s="5" t="s">
        <v>32</v>
      </c>
      <c r="G4" s="5" t="s">
        <v>33</v>
      </c>
      <c r="H4" s="5" t="s">
        <v>34</v>
      </c>
      <c r="I4" s="5" t="s">
        <v>35</v>
      </c>
      <c r="J4" s="5" t="s">
        <v>19</v>
      </c>
    </row>
    <row r="5" ht="13.5" customHeight="1">
      <c r="A5" s="8">
        <v>1.0</v>
      </c>
      <c r="B5" s="8" t="s">
        <v>39</v>
      </c>
      <c r="C5" s="8" t="s">
        <v>41</v>
      </c>
      <c r="D5" s="8" t="s">
        <v>43</v>
      </c>
      <c r="E5" s="8" t="s">
        <v>44</v>
      </c>
      <c r="F5" s="8" t="s">
        <v>48</v>
      </c>
      <c r="G5" s="10">
        <v>46277.0</v>
      </c>
      <c r="H5" s="8" t="s">
        <v>78</v>
      </c>
      <c r="I5" s="14">
        <v>0.05</v>
      </c>
      <c r="J5" s="8" t="s">
        <v>112</v>
      </c>
    </row>
    <row r="6" ht="13.5" customHeight="1">
      <c r="A6" s="8">
        <v>2.0</v>
      </c>
      <c r="B6" s="8" t="s">
        <v>116</v>
      </c>
      <c r="C6" s="8" t="s">
        <v>117</v>
      </c>
      <c r="D6" s="8" t="s">
        <v>119</v>
      </c>
      <c r="E6" s="8" t="s">
        <v>121</v>
      </c>
      <c r="F6" s="8" t="s">
        <v>124</v>
      </c>
      <c r="G6" s="10">
        <v>46284.0</v>
      </c>
      <c r="H6" s="8" t="s">
        <v>33</v>
      </c>
      <c r="I6" s="14">
        <v>0.1</v>
      </c>
      <c r="J6" s="8" t="s">
        <v>112</v>
      </c>
    </row>
    <row r="7" ht="13.5" customHeight="1">
      <c r="A7" s="8">
        <v>3.0</v>
      </c>
      <c r="B7" s="8" t="s">
        <v>130</v>
      </c>
      <c r="C7" s="8" t="s">
        <v>131</v>
      </c>
      <c r="D7" s="8" t="s">
        <v>132</v>
      </c>
      <c r="E7" s="8" t="s">
        <v>134</v>
      </c>
      <c r="F7" s="8" t="s">
        <v>135</v>
      </c>
      <c r="G7" s="10">
        <v>46291.0</v>
      </c>
      <c r="H7" s="8" t="s">
        <v>78</v>
      </c>
      <c r="I7" s="14">
        <v>0.15</v>
      </c>
      <c r="J7" s="8" t="s">
        <v>112</v>
      </c>
    </row>
    <row r="8" ht="13.5" customHeight="1">
      <c r="A8" s="8">
        <v>4.0</v>
      </c>
      <c r="B8" s="8" t="s">
        <v>142</v>
      </c>
      <c r="C8" s="8" t="s">
        <v>144</v>
      </c>
      <c r="D8" s="8" t="s">
        <v>145</v>
      </c>
      <c r="E8" s="8" t="s">
        <v>147</v>
      </c>
      <c r="F8" s="8" t="s">
        <v>149</v>
      </c>
      <c r="G8" s="10">
        <v>46298.0</v>
      </c>
      <c r="H8" s="8" t="s">
        <v>78</v>
      </c>
      <c r="I8" s="14">
        <v>0.2</v>
      </c>
      <c r="J8" s="8" t="s">
        <v>112</v>
      </c>
    </row>
    <row r="9" ht="13.5" customHeight="1">
      <c r="A9" s="8">
        <v>5.0</v>
      </c>
      <c r="B9" s="8" t="s">
        <v>150</v>
      </c>
      <c r="C9" s="8" t="s">
        <v>151</v>
      </c>
      <c r="D9" s="8" t="s">
        <v>153</v>
      </c>
      <c r="E9" s="8" t="s">
        <v>154</v>
      </c>
      <c r="F9" s="8" t="s">
        <v>155</v>
      </c>
      <c r="G9" s="10">
        <v>46305.0</v>
      </c>
      <c r="H9" s="8" t="s">
        <v>78</v>
      </c>
      <c r="I9" s="14">
        <v>0.25</v>
      </c>
      <c r="J9" s="8" t="s">
        <v>112</v>
      </c>
    </row>
    <row r="10" ht="13.5" customHeight="1">
      <c r="A10" s="8">
        <v>6.0</v>
      </c>
      <c r="B10" s="8" t="s">
        <v>161</v>
      </c>
      <c r="C10" s="8" t="s">
        <v>163</v>
      </c>
      <c r="D10" s="8" t="s">
        <v>164</v>
      </c>
      <c r="E10" s="8" t="s">
        <v>166</v>
      </c>
      <c r="F10" s="8" t="s">
        <v>168</v>
      </c>
      <c r="G10" s="10">
        <v>46312.0</v>
      </c>
      <c r="H10" s="8" t="s">
        <v>170</v>
      </c>
      <c r="I10" s="14">
        <v>0.3</v>
      </c>
      <c r="J10" s="8" t="s">
        <v>112</v>
      </c>
    </row>
    <row r="11" ht="13.5" customHeight="1">
      <c r="A11" s="8">
        <v>7.0</v>
      </c>
      <c r="B11" s="8" t="s">
        <v>172</v>
      </c>
      <c r="C11" s="8" t="s">
        <v>173</v>
      </c>
      <c r="D11" s="8" t="s">
        <v>175</v>
      </c>
      <c r="E11" s="8" t="s">
        <v>176</v>
      </c>
      <c r="F11" s="8" t="s">
        <v>177</v>
      </c>
      <c r="G11" s="10">
        <v>46319.0</v>
      </c>
      <c r="H11" s="8" t="s">
        <v>78</v>
      </c>
      <c r="I11" s="14">
        <v>0.4</v>
      </c>
      <c r="J11" s="8" t="s">
        <v>112</v>
      </c>
    </row>
    <row r="12" ht="13.5" customHeight="1">
      <c r="A12" s="8">
        <v>8.0</v>
      </c>
      <c r="B12" s="8" t="s">
        <v>180</v>
      </c>
      <c r="C12" s="8" t="s">
        <v>182</v>
      </c>
      <c r="D12" s="8" t="s">
        <v>184</v>
      </c>
      <c r="E12" s="8" t="s">
        <v>187</v>
      </c>
      <c r="F12" s="8" t="s">
        <v>189</v>
      </c>
      <c r="G12" s="10">
        <v>46326.0</v>
      </c>
      <c r="H12" s="8" t="s">
        <v>191</v>
      </c>
      <c r="I12" s="14">
        <v>0.55</v>
      </c>
      <c r="J12" s="8" t="s">
        <v>112</v>
      </c>
    </row>
    <row r="13" ht="13.5" customHeight="1">
      <c r="A13" s="8">
        <v>9.0</v>
      </c>
      <c r="B13" s="8" t="s">
        <v>193</v>
      </c>
      <c r="C13" s="8" t="s">
        <v>195</v>
      </c>
      <c r="D13" s="8" t="s">
        <v>196</v>
      </c>
      <c r="E13" s="8" t="s">
        <v>198</v>
      </c>
      <c r="F13" s="8" t="s">
        <v>200</v>
      </c>
      <c r="G13" s="10">
        <v>46333.0</v>
      </c>
      <c r="H13" s="8" t="s">
        <v>78</v>
      </c>
      <c r="I13" s="14">
        <v>0.7</v>
      </c>
      <c r="J13" s="8" t="s">
        <v>112</v>
      </c>
    </row>
    <row r="14" ht="13.5" customHeight="1">
      <c r="A14" s="8">
        <v>10.0</v>
      </c>
      <c r="B14" s="8" t="s">
        <v>205</v>
      </c>
      <c r="C14" s="8" t="s">
        <v>207</v>
      </c>
      <c r="D14" s="8" t="s">
        <v>209</v>
      </c>
      <c r="E14" s="8" t="s">
        <v>212</v>
      </c>
      <c r="F14" s="8" t="s">
        <v>213</v>
      </c>
      <c r="G14" s="10">
        <v>46340.0</v>
      </c>
      <c r="H14" s="8" t="s">
        <v>78</v>
      </c>
      <c r="I14" s="14">
        <v>0.85</v>
      </c>
      <c r="J14" s="8" t="s">
        <v>112</v>
      </c>
    </row>
    <row r="15" ht="13.5" customHeight="1">
      <c r="A15" s="8">
        <v>11.0</v>
      </c>
      <c r="B15" s="8" t="s">
        <v>218</v>
      </c>
      <c r="C15" s="8" t="s">
        <v>220</v>
      </c>
      <c r="D15" s="8" t="s">
        <v>222</v>
      </c>
      <c r="E15" s="8" t="s">
        <v>223</v>
      </c>
      <c r="F15" s="8" t="s">
        <v>224</v>
      </c>
      <c r="G15" s="10">
        <v>46347.0</v>
      </c>
      <c r="H15" s="8" t="s">
        <v>33</v>
      </c>
      <c r="I15" s="14">
        <v>0.95</v>
      </c>
      <c r="J15" s="8" t="s">
        <v>112</v>
      </c>
    </row>
    <row r="16" ht="13.5" customHeight="1">
      <c r="A16" s="8">
        <v>12.0</v>
      </c>
      <c r="B16" s="8" t="s">
        <v>236</v>
      </c>
      <c r="C16" s="8" t="s">
        <v>237</v>
      </c>
      <c r="D16" s="8" t="s">
        <v>238</v>
      </c>
      <c r="E16" s="8" t="s">
        <v>240</v>
      </c>
      <c r="F16" s="8" t="s">
        <v>243</v>
      </c>
      <c r="G16" s="10">
        <v>46354.0</v>
      </c>
      <c r="H16" s="8" t="s">
        <v>246</v>
      </c>
      <c r="I16" s="14">
        <v>1.0</v>
      </c>
      <c r="J16" s="8" t="s">
        <v>112</v>
      </c>
    </row>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mergeCells count="2">
    <mergeCell ref="A1:J1"/>
    <mergeCell ref="A2:J2"/>
  </mergeCells>
  <conditionalFormatting sqref="H5:H16">
    <cfRule type="expression" dxfId="0" priority="1">
      <formula>LEFT(H5,9)="MILESTONE"</formula>
    </cfRule>
  </conditionalFormatting>
  <conditionalFormatting sqref="J5:J16">
    <cfRule type="expression" dxfId="1" priority="2">
      <formula>J5="Trễ hạn"</formula>
    </cfRule>
  </conditionalFormatting>
  <conditionalFormatting sqref="J5:J16">
    <cfRule type="expression" dxfId="0" priority="3">
      <formula>J5="Hoàn thành"</formula>
    </cfRule>
  </conditionalFormatting>
  <dataValidations>
    <dataValidation type="list" allowBlank="1" sqref="J5:J16">
      <formula1>"Chưa bắt đầu,Đang làm,Chờ duyệt,Hoàn thành,Trễ hạn"</formula1>
    </dataValidation>
  </dataValidations>
  <printOptions/>
  <pageMargins bottom="0.75" footer="0.0" header="0.0" left="0.7" right="0.7" top="0.75"/>
  <pageSetup orientation="landscape"/>
  <drawing r:id="rId1"/>
</worksheet>
</file>